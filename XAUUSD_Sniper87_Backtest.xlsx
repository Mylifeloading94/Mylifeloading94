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hart" sheetId="2" state="visible" r:id="rId2"/>
    <sheet name="Trades 1pct" sheetId="3" state="visible" r:id="rId3"/>
    <sheet name="Trades 2pct" sheetId="4" state="visible" r:id="rId4"/>
    <sheet name="Daily" sheetId="5" state="visible" r:id="rId5"/>
    <sheet name="Weekly" sheetId="6" state="visible" r:id="rId6"/>
    <sheet name="Monthly" sheetId="7" state="visible" r:id="rId7"/>
    <sheet name="Method &amp; Cave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+#,##0.0;-#,##0.0;0.0"/>
    <numFmt numFmtId="165" formatCode="$#,##0.00;($#,##0.00);-"/>
    <numFmt numFmtId="166" formatCode="+0.000;-0.000;0.000"/>
    <numFmt numFmtId="167" formatCode="$#,##0.00"/>
    <numFmt numFmtId="168" formatCode="+0.00%;-0.00%;0.00%"/>
    <numFmt numFmtId="169" formatCode="+#,##0;-#,##0;0"/>
    <numFmt numFmtId="170" formatCode="+#,##0.0"/>
    <numFmt numFmtId="171" formatCode="+#,##0.0;-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color rgb="00833C00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70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right" vertical="center"/>
    </xf>
    <xf numFmtId="0" fontId="8" fillId="4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Equity Curve — XAUUSD Sniper 87 (Jan–Aug 2026)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Chart'!C3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Chart'!$A$4:$A$17</f>
            </numRef>
          </cat>
          <val>
            <numRef>
              <f>'Equity Chart'!$C$4:$C$17</f>
            </numRef>
          </val>
          <smooth val="0"/>
        </ser>
        <ser>
          <idx val="1"/>
          <order val="1"/>
          <tx>
            <strRef>
              <f>'Equity Chart'!D3</f>
            </strRef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Chart'!$A$4:$A$17</f>
            </numRef>
          </cat>
          <val>
            <numRef>
              <f>'Equity Chart'!$D$4:$D$17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0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1" t="inlineStr">
        <is>
          <t>XAUUSD SNIPER 87 — BACKTEST SUMMARY</t>
        </is>
      </c>
    </row>
    <row r="2">
      <c r="A2" s="2" t="inlineStr">
        <is>
          <t>TradeLocker PULSE live feed · 1 Jan 2026 → 21 Aug 2026 · $10,000 start · all times US Central · 1 pip = $0.10</t>
        </is>
      </c>
    </row>
    <row r="4" ht="28" customHeight="1">
      <c r="A4" s="3" t="inlineStr">
        <is>
          <t>Pair</t>
        </is>
      </c>
      <c r="B4" s="3" t="inlineStr">
        <is>
          <t>Risk</t>
        </is>
      </c>
      <c r="C4" s="3" t="inlineStr">
        <is>
          <t>Trades</t>
        </is>
      </c>
      <c r="D4" s="3" t="inlineStr">
        <is>
          <t>Gain ($)</t>
        </is>
      </c>
      <c r="E4" s="3" t="inlineStr">
        <is>
          <t>Loss ($)</t>
        </is>
      </c>
      <c r="F4" s="3" t="inlineStr">
        <is>
          <t>Net ($)</t>
        </is>
      </c>
      <c r="G4" s="3" t="inlineStr">
        <is>
          <t>ROI (%)</t>
        </is>
      </c>
      <c r="H4" s="3" t="inlineStr">
        <is>
          <t>End Balance ($)</t>
        </is>
      </c>
    </row>
    <row r="5">
      <c r="A5" s="4" t="inlineStr">
        <is>
          <t>XAUUSD</t>
        </is>
      </c>
      <c r="B5" s="4" t="inlineStr">
        <is>
          <t>1%</t>
        </is>
      </c>
      <c r="C5" s="5" t="n">
        <v>13</v>
      </c>
      <c r="D5" s="6" t="n">
        <v>1051.44</v>
      </c>
      <c r="E5" s="6" t="n">
        <v>-477.69</v>
      </c>
      <c r="F5" s="7" t="n">
        <v>573.75</v>
      </c>
      <c r="G5" s="8" t="n">
        <v>0.0573751229166136</v>
      </c>
      <c r="H5" s="9" t="n">
        <v>10573.75</v>
      </c>
    </row>
    <row r="6">
      <c r="A6" s="4" t="inlineStr">
        <is>
          <t>XAUUSD</t>
        </is>
      </c>
      <c r="B6" s="4" t="inlineStr">
        <is>
          <t>2%</t>
        </is>
      </c>
      <c r="C6" s="5" t="n">
        <v>13</v>
      </c>
      <c r="D6" s="6" t="n">
        <v>2220.31</v>
      </c>
      <c r="E6" s="6" t="n">
        <v>-993.9400000000001</v>
      </c>
      <c r="F6" s="7" t="n">
        <v>1226.38</v>
      </c>
      <c r="G6" s="8" t="n">
        <v>0.1226377993657661</v>
      </c>
      <c r="H6" s="9" t="n">
        <v>11226.38</v>
      </c>
    </row>
    <row r="9" ht="28" customHeight="1">
      <c r="A9" s="10" t="inlineStr">
        <is>
          <t>Metric</t>
        </is>
      </c>
      <c r="B9" s="10" t="inlineStr">
        <is>
          <t>1% Risk</t>
        </is>
      </c>
      <c r="C9" s="10" t="inlineStr">
        <is>
          <t>2% Risk</t>
        </is>
      </c>
      <c r="D9" s="10" t="inlineStr">
        <is>
          <t>Rule-set target (§28)</t>
        </is>
      </c>
    </row>
    <row r="10">
      <c r="A10" s="11" t="inlineStr">
        <is>
          <t>Total trades</t>
        </is>
      </c>
      <c r="B10" s="12" t="n">
        <v>13</v>
      </c>
      <c r="C10" s="12" t="n">
        <v>13</v>
      </c>
      <c r="D10" s="13" t="inlineStr">
        <is>
          <t>≥ 300</t>
        </is>
      </c>
    </row>
    <row r="11">
      <c r="A11" s="11" t="inlineStr">
        <is>
          <t>Win rate</t>
        </is>
      </c>
      <c r="B11" s="14" t="n">
        <v>0.6153846153846154</v>
      </c>
      <c r="C11" s="14" t="n">
        <v>0.6153846153846154</v>
      </c>
      <c r="D11" s="13" t="inlineStr">
        <is>
          <t>≥ 87%</t>
        </is>
      </c>
    </row>
    <row r="12">
      <c r="A12" s="11" t="inlineStr">
        <is>
          <t>Profit factor</t>
        </is>
      </c>
      <c r="B12" s="15" t="n">
        <v>2.201099421281885</v>
      </c>
      <c r="C12" s="15" t="n">
        <v>2.233861301102729</v>
      </c>
      <c r="D12" s="13" t="inlineStr">
        <is>
          <t>≥ 2.0</t>
        </is>
      </c>
    </row>
    <row r="13">
      <c r="A13" s="11" t="inlineStr">
        <is>
          <t>Max drawdown</t>
        </is>
      </c>
      <c r="B13" s="14" t="n">
        <v>-0.02213363582774291</v>
      </c>
      <c r="C13" s="14" t="n">
        <v>-0.04534249919004887</v>
      </c>
      <c r="D13" s="13" t="inlineStr">
        <is>
          <t>≤ 8%</t>
        </is>
      </c>
    </row>
    <row r="14">
      <c r="A14" s="11" t="inlineStr">
        <is>
          <t>Expectancy / trade ($)</t>
        </is>
      </c>
      <c r="B14" s="6" t="n">
        <v>44.13470993585661</v>
      </c>
      <c r="C14" s="6" t="n">
        <v>94.33676874289701</v>
      </c>
      <c r="D14" s="13" t="inlineStr">
        <is>
          <t>positive</t>
        </is>
      </c>
    </row>
    <row r="15">
      <c r="A15" s="11" t="inlineStr">
        <is>
          <t>Average R / trade</t>
        </is>
      </c>
      <c r="B15" s="16" t="n">
        <v>0.4371427631659955</v>
      </c>
      <c r="C15" s="16" t="n">
        <v>0.4623433480032856</v>
      </c>
      <c r="D15" s="13" t="inlineStr">
        <is>
          <t>positive</t>
        </is>
      </c>
    </row>
    <row r="16">
      <c r="A16" s="11" t="inlineStr">
        <is>
          <t>Recovery factor</t>
        </is>
      </c>
      <c r="B16" s="15" t="n">
        <v>2.592214101792441</v>
      </c>
      <c r="C16" s="15" t="n">
        <v>2.704698716578042</v>
      </c>
      <c r="D16" s="13" t="inlineStr">
        <is>
          <t>≥ 2</t>
        </is>
      </c>
    </row>
    <row r="17">
      <c r="A17" s="11" t="inlineStr">
        <is>
          <t>Sharpe (approx.)</t>
        </is>
      </c>
      <c r="B17" s="15" t="n">
        <v>4.418960879353546</v>
      </c>
      <c r="C17" s="15" t="n">
        <v>4.494046359803028</v>
      </c>
      <c r="D17" s="13" t="inlineStr">
        <is>
          <t>≥ 1.5</t>
        </is>
      </c>
    </row>
    <row r="18">
      <c r="A18" s="11" t="inlineStr">
        <is>
          <t>Max consecutive losses</t>
        </is>
      </c>
      <c r="B18" s="12" t="n">
        <v>2</v>
      </c>
      <c r="C18" s="12" t="n">
        <v>2</v>
      </c>
      <c r="D18" s="13" t="inlineStr">
        <is>
          <t>≤ 4</t>
        </is>
      </c>
    </row>
    <row r="19">
      <c r="A19" s="11" t="inlineStr">
        <is>
          <t>Average win ($)</t>
        </is>
      </c>
      <c r="B19" s="17" t="n">
        <v>131.4299503543103</v>
      </c>
      <c r="C19" s="17" t="n">
        <v>277.5391304220593</v>
      </c>
      <c r="D19" s="13" t="inlineStr">
        <is>
          <t>—</t>
        </is>
      </c>
    </row>
    <row r="20">
      <c r="A20" s="11" t="inlineStr">
        <is>
          <t>Average loss ($)</t>
        </is>
      </c>
      <c r="B20" s="6" t="n">
        <v>-95.53767473366935</v>
      </c>
      <c r="C20" s="6" t="n">
        <v>-198.7870099437627</v>
      </c>
      <c r="D20" s="13" t="inlineStr">
        <is>
          <t>—</t>
        </is>
      </c>
    </row>
    <row r="21">
      <c r="A21" s="11" t="inlineStr">
        <is>
          <t>Largest win ($)</t>
        </is>
      </c>
      <c r="B21" s="17" t="n">
        <v>172.1570366533587</v>
      </c>
      <c r="C21" s="17" t="n">
        <v>371.4967633046161</v>
      </c>
      <c r="D21" s="13" t="inlineStr">
        <is>
          <t>—</t>
        </is>
      </c>
    </row>
    <row r="22">
      <c r="A22" s="11" t="inlineStr">
        <is>
          <t>Largest loss ($)</t>
        </is>
      </c>
      <c r="B22" s="6" t="n">
        <v>-100.9900365144433</v>
      </c>
      <c r="C22" s="6" t="n">
        <v>-201.9800730288865</v>
      </c>
      <c r="D22" s="13" t="inlineStr">
        <is>
          <t>—</t>
        </is>
      </c>
    </row>
    <row r="23">
      <c r="A23" s="11" t="inlineStr">
        <is>
          <t>Total pips</t>
        </is>
      </c>
      <c r="B23" s="18" t="n">
        <v>623.4786104995146</v>
      </c>
      <c r="C23" s="18" t="n">
        <v>623.4786104995146</v>
      </c>
      <c r="D23" s="13" t="inlineStr">
        <is>
          <t>—</t>
        </is>
      </c>
    </row>
    <row r="24">
      <c r="A24" s="11" t="inlineStr">
        <is>
          <t>Average win (pips)</t>
        </is>
      </c>
      <c r="B24" s="19" t="n">
        <v>138.3189588543951</v>
      </c>
      <c r="C24" s="19" t="n">
        <v>138.3189588543951</v>
      </c>
      <c r="D24" s="13" t="inlineStr">
        <is>
          <t>≥ 25</t>
        </is>
      </c>
    </row>
    <row r="25">
      <c r="A25" s="11" t="inlineStr">
        <is>
          <t>Average loss (pips)</t>
        </is>
      </c>
      <c r="B25" s="20" t="n">
        <v>-96.6146120671292</v>
      </c>
      <c r="C25" s="20" t="n">
        <v>-96.6146120671292</v>
      </c>
      <c r="D25" s="13" t="inlineStr">
        <is>
          <t>—</t>
        </is>
      </c>
    </row>
    <row r="26">
      <c r="A26" s="11" t="inlineStr">
        <is>
          <t>Median hold (minutes)</t>
        </is>
      </c>
      <c r="B26" s="12" t="n">
        <v>30</v>
      </c>
      <c r="C26" s="12" t="n">
        <v>30</v>
      </c>
      <c r="D26" s="13" t="inlineStr">
        <is>
          <t>—</t>
        </is>
      </c>
    </row>
  </sheetData>
  <mergeCells count="2">
    <mergeCell ref="A2:H2"/>
    <mergeCell ref="A1:H1"/>
  </mergeCells>
  <conditionalFormatting sqref="D5:F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5:G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14:C15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4" customWidth="1" min="4" max="4"/>
  </cols>
  <sheetData>
    <row r="1" ht="30" customHeight="1">
      <c r="A1" s="1" t="inlineStr">
        <is>
          <t>XAUUSD SNIPER 87 — EQUITY CURVE</t>
        </is>
      </c>
    </row>
    <row r="2">
      <c r="A2" s="2" t="inlineStr">
        <is>
          <t>Account balance after each closed trade, $10,000 start.</t>
        </is>
      </c>
    </row>
    <row r="3" ht="28" customHeight="1">
      <c r="A3" s="3" t="inlineStr">
        <is>
          <t>Trade #</t>
        </is>
      </c>
      <c r="B3" s="3" t="inlineStr">
        <is>
          <t>Date (CT)</t>
        </is>
      </c>
      <c r="C3" s="3" t="inlineStr">
        <is>
          <t>1% Risk ($)</t>
        </is>
      </c>
      <c r="D3" s="3" t="inlineStr">
        <is>
          <t>2% Risk ($)</t>
        </is>
      </c>
    </row>
    <row r="4">
      <c r="A4" s="5" t="n">
        <v>0</v>
      </c>
      <c r="B4" s="13" t="inlineStr">
        <is>
          <t>2026-01-23</t>
        </is>
      </c>
      <c r="C4" s="17" t="n">
        <v>10000</v>
      </c>
      <c r="D4" s="17" t="n">
        <v>10000</v>
      </c>
    </row>
    <row r="5">
      <c r="A5" s="5" t="n">
        <v>1</v>
      </c>
      <c r="B5" s="13" t="inlineStr">
        <is>
          <t>2026-01-23</t>
        </is>
      </c>
      <c r="C5" s="17" t="n">
        <v>9904.51</v>
      </c>
      <c r="D5" s="17" t="n">
        <v>9800.34</v>
      </c>
    </row>
    <row r="6">
      <c r="A6" s="5" t="n">
        <v>2</v>
      </c>
      <c r="B6" s="13" t="inlineStr">
        <is>
          <t>2026-02-20</t>
        </is>
      </c>
      <c r="C6" s="17" t="n">
        <v>9974.889999999999</v>
      </c>
      <c r="D6" s="17" t="n">
        <v>9946.959999999999</v>
      </c>
    </row>
    <row r="7">
      <c r="A7" s="5" t="n">
        <v>3</v>
      </c>
      <c r="B7" s="13" t="inlineStr">
        <is>
          <t>2026-02-25</t>
        </is>
      </c>
      <c r="C7" s="17" t="n">
        <v>9873.9</v>
      </c>
      <c r="D7" s="17" t="n">
        <v>9744.98</v>
      </c>
    </row>
    <row r="8">
      <c r="A8" s="5" t="n">
        <v>4</v>
      </c>
      <c r="B8" s="13" t="inlineStr">
        <is>
          <t>2026-02-26</t>
        </is>
      </c>
      <c r="C8" s="17" t="n">
        <v>9778.66</v>
      </c>
      <c r="D8" s="17" t="n">
        <v>9546.58</v>
      </c>
    </row>
    <row r="9">
      <c r="A9" s="5" t="n">
        <v>5</v>
      </c>
      <c r="B9" s="13" t="inlineStr">
        <is>
          <t>2026-04-29</t>
        </is>
      </c>
      <c r="C9" s="17" t="n">
        <v>9934.76</v>
      </c>
      <c r="D9" s="17" t="n">
        <v>9872.959999999999</v>
      </c>
    </row>
    <row r="10">
      <c r="A10" s="5" t="n">
        <v>6</v>
      </c>
      <c r="B10" s="13" t="inlineStr">
        <is>
          <t>2026-05-04</t>
        </is>
      </c>
      <c r="C10" s="17" t="n">
        <v>10092.92</v>
      </c>
      <c r="D10" s="17" t="n">
        <v>10209.05</v>
      </c>
    </row>
    <row r="11">
      <c r="A11" s="5" t="n">
        <v>7</v>
      </c>
      <c r="B11" s="13" t="inlineStr">
        <is>
          <t>2026-05-20</t>
        </is>
      </c>
      <c r="C11" s="17" t="n">
        <v>9998.93</v>
      </c>
      <c r="D11" s="17" t="n">
        <v>10010.63</v>
      </c>
    </row>
    <row r="12">
      <c r="A12" s="5" t="n">
        <v>8</v>
      </c>
      <c r="B12" s="13" t="inlineStr">
        <is>
          <t>2026-06-03</t>
        </is>
      </c>
      <c r="C12" s="17" t="n">
        <v>9906.950000000001</v>
      </c>
      <c r="D12" s="17" t="n">
        <v>9815.17</v>
      </c>
    </row>
    <row r="13">
      <c r="A13" s="5" t="n">
        <v>9</v>
      </c>
      <c r="B13" s="13" t="inlineStr">
        <is>
          <t>2026-06-23</t>
        </is>
      </c>
      <c r="C13" s="17" t="n">
        <v>9907.99</v>
      </c>
      <c r="D13" s="17" t="n">
        <v>9817.379999999999</v>
      </c>
    </row>
    <row r="14">
      <c r="A14" s="5" t="n">
        <v>10</v>
      </c>
      <c r="B14" s="13" t="inlineStr">
        <is>
          <t>2026-06-29</t>
        </is>
      </c>
      <c r="C14" s="17" t="n">
        <v>10066.91</v>
      </c>
      <c r="D14" s="17" t="n">
        <v>10152.87</v>
      </c>
    </row>
    <row r="15">
      <c r="A15" s="5" t="n">
        <v>11</v>
      </c>
      <c r="B15" s="13" t="inlineStr">
        <is>
          <t>2026-07-28</t>
        </is>
      </c>
      <c r="C15" s="17" t="n">
        <v>10238.4</v>
      </c>
      <c r="D15" s="17" t="n">
        <v>10495.86</v>
      </c>
    </row>
    <row r="16">
      <c r="A16" s="5" t="n">
        <v>12</v>
      </c>
      <c r="B16" s="13" t="inlineStr">
        <is>
          <t>2026-07-31</t>
        </is>
      </c>
      <c r="C16" s="17" t="n">
        <v>10401.59</v>
      </c>
      <c r="D16" s="17" t="n">
        <v>10854.88</v>
      </c>
    </row>
    <row r="17">
      <c r="A17" s="5" t="n">
        <v>13</v>
      </c>
      <c r="B17" s="13" t="inlineStr">
        <is>
          <t>2026-08-12</t>
        </is>
      </c>
      <c r="C17" s="17" t="n">
        <v>10573.75</v>
      </c>
      <c r="D17" s="17" t="n">
        <v>11226.38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9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10" customWidth="1" min="11" max="11"/>
    <col width="13" customWidth="1" min="12" max="12"/>
    <col width="9" customWidth="1" min="13" max="13"/>
    <col width="11" customWidth="1" min="14" max="14"/>
    <col width="7" customWidth="1" min="15" max="15"/>
    <col width="13" customWidth="1" min="16" max="16"/>
  </cols>
  <sheetData>
    <row r="1" ht="30" customHeight="1">
      <c r="A1" s="1" t="inlineStr">
        <is>
          <t>XAUUSD SNIPER 87 — TRADE LOG (1% risk)</t>
        </is>
      </c>
    </row>
    <row r="2">
      <c r="A2" s="2" t="inlineStr">
        <is>
          <t>All times US Central (America/Chicago). Pips: 1 pip = $0.10. Positive pips/P&amp;L green, negative red.</t>
        </is>
      </c>
    </row>
    <row r="3" ht="28" customHeight="1">
      <c r="A3" s="3" t="inlineStr">
        <is>
          <t>#</t>
        </is>
      </c>
      <c r="B3" s="3" t="inlineStr">
        <is>
          <t>Pair</t>
        </is>
      </c>
      <c r="C3" s="3" t="inlineStr">
        <is>
          <t>Entry Date/Time (CT)</t>
        </is>
      </c>
      <c r="D3" s="3" t="inlineStr">
        <is>
          <t>Exit Date/Time (CT)</t>
        </is>
      </c>
      <c r="E3" s="3" t="inlineStr">
        <is>
          <t>Side</t>
        </is>
      </c>
      <c r="F3" s="3" t="inlineStr">
        <is>
          <t>Entry</t>
        </is>
      </c>
      <c r="G3" s="3" t="inlineStr">
        <is>
          <t>Stop</t>
        </is>
      </c>
      <c r="H3" s="3" t="inlineStr">
        <is>
          <t>Target</t>
        </is>
      </c>
      <c r="I3" s="3" t="inlineStr">
        <is>
          <t>Exit</t>
        </is>
      </c>
      <c r="J3" s="3" t="inlineStr">
        <is>
          <t>Lots</t>
        </is>
      </c>
      <c r="K3" s="3" t="inlineStr">
        <is>
          <t>Pips</t>
        </is>
      </c>
      <c r="L3" s="3" t="inlineStr">
        <is>
          <t>P/L ($)</t>
        </is>
      </c>
      <c r="M3" s="3" t="inlineStr">
        <is>
          <t>R</t>
        </is>
      </c>
      <c r="N3" s="3" t="inlineStr">
        <is>
          <t>Result</t>
        </is>
      </c>
      <c r="O3" s="3" t="inlineStr">
        <is>
          <t>Score</t>
        </is>
      </c>
      <c r="P3" s="3" t="inlineStr">
        <is>
          <t>Balance ($)</t>
        </is>
      </c>
    </row>
    <row r="4">
      <c r="A4" s="13" t="n">
        <v>1</v>
      </c>
      <c r="B4" s="13" t="inlineStr">
        <is>
          <t>XAUUSD</t>
        </is>
      </c>
      <c r="C4" s="13" t="inlineStr">
        <is>
          <t>2026-01-23 07:08</t>
        </is>
      </c>
      <c r="D4" s="13" t="inlineStr">
        <is>
          <t>2026-01-23 07:20</t>
        </is>
      </c>
      <c r="E4" s="21" t="inlineStr">
        <is>
          <t>BUY</t>
        </is>
      </c>
      <c r="F4" s="22" t="n">
        <v>4941.19</v>
      </c>
      <c r="G4" s="22" t="n">
        <v>4932.68</v>
      </c>
      <c r="H4" s="22" t="n">
        <v>4958.21</v>
      </c>
      <c r="I4" s="22" t="n">
        <v>4932.58</v>
      </c>
      <c r="J4" s="15" t="n">
        <v>0.11</v>
      </c>
      <c r="K4" s="23" t="n">
        <v>-86.09999999999999</v>
      </c>
      <c r="L4" s="6" t="n">
        <v>-95.48999999999999</v>
      </c>
      <c r="M4" s="16" t="n">
        <v>-0.955</v>
      </c>
      <c r="N4" s="13" t="inlineStr">
        <is>
          <t>STOP</t>
        </is>
      </c>
      <c r="O4" s="5" t="n">
        <v>94</v>
      </c>
      <c r="P4" s="17" t="n">
        <v>9904.51</v>
      </c>
    </row>
    <row r="5">
      <c r="A5" s="13" t="n">
        <v>2</v>
      </c>
      <c r="B5" s="13" t="inlineStr">
        <is>
          <t>XAUUSD</t>
        </is>
      </c>
      <c r="C5" s="13" t="inlineStr">
        <is>
          <t>2026-02-20 08:56</t>
        </is>
      </c>
      <c r="D5" s="13" t="inlineStr">
        <is>
          <t>2026-02-20 09:02</t>
        </is>
      </c>
      <c r="E5" s="21" t="inlineStr">
        <is>
          <t>BUY</t>
        </is>
      </c>
      <c r="F5" s="22" t="n">
        <v>5050.85</v>
      </c>
      <c r="G5" s="22" t="n">
        <v>5043.06</v>
      </c>
      <c r="H5" s="22" t="n">
        <v>5066.41</v>
      </c>
      <c r="I5" s="22" t="n">
        <v>5051.05</v>
      </c>
      <c r="J5" s="15" t="n">
        <v>0.12</v>
      </c>
      <c r="K5" s="23" t="n">
        <v>2</v>
      </c>
      <c r="L5" s="6" t="n">
        <v>70.38</v>
      </c>
      <c r="M5" s="16" t="n">
        <v>0.711</v>
      </c>
      <c r="N5" s="13" t="inlineStr">
        <is>
          <t>BREAKEVEN</t>
        </is>
      </c>
      <c r="O5" s="5" t="n">
        <v>91</v>
      </c>
      <c r="P5" s="17" t="n">
        <v>9974.889999999999</v>
      </c>
    </row>
    <row r="6">
      <c r="A6" s="13" t="n">
        <v>3</v>
      </c>
      <c r="B6" s="13" t="inlineStr">
        <is>
          <t>XAUUSD</t>
        </is>
      </c>
      <c r="C6" s="13" t="inlineStr">
        <is>
          <t>2026-02-25 02:51</t>
        </is>
      </c>
      <c r="D6" s="13" t="inlineStr">
        <is>
          <t>2026-02-25 03:03</t>
        </is>
      </c>
      <c r="E6" s="21" t="inlineStr">
        <is>
          <t>BUY</t>
        </is>
      </c>
      <c r="F6" s="22" t="n">
        <v>5189.29</v>
      </c>
      <c r="G6" s="22" t="n">
        <v>5179.36</v>
      </c>
      <c r="H6" s="22" t="n">
        <v>5209.15</v>
      </c>
      <c r="I6" s="22" t="n">
        <v>5179.26</v>
      </c>
      <c r="J6" s="15" t="n">
        <v>0.1</v>
      </c>
      <c r="K6" s="23" t="n">
        <v>-100.3</v>
      </c>
      <c r="L6" s="6" t="n">
        <v>-100.99</v>
      </c>
      <c r="M6" s="16" t="n">
        <v>-1.012</v>
      </c>
      <c r="N6" s="13" t="inlineStr">
        <is>
          <t>STOP</t>
        </is>
      </c>
      <c r="O6" s="5" t="n">
        <v>92</v>
      </c>
      <c r="P6" s="17" t="n">
        <v>9873.9</v>
      </c>
    </row>
    <row r="7">
      <c r="A7" s="13" t="n">
        <v>4</v>
      </c>
      <c r="B7" s="13" t="inlineStr">
        <is>
          <t>XAUUSD</t>
        </is>
      </c>
      <c r="C7" s="13" t="inlineStr">
        <is>
          <t>2026-02-26 02:18</t>
        </is>
      </c>
      <c r="D7" s="13" t="inlineStr">
        <is>
          <t>2026-02-26 02:27</t>
        </is>
      </c>
      <c r="E7" s="21" t="inlineStr">
        <is>
          <t>BUY</t>
        </is>
      </c>
      <c r="F7" s="22" t="n">
        <v>5186.22</v>
      </c>
      <c r="G7" s="22" t="n">
        <v>5178.45</v>
      </c>
      <c r="H7" s="22" t="n">
        <v>5201.75</v>
      </c>
      <c r="I7" s="22" t="n">
        <v>5178.35</v>
      </c>
      <c r="J7" s="15" t="n">
        <v>0.12</v>
      </c>
      <c r="K7" s="23" t="n">
        <v>-78.7</v>
      </c>
      <c r="L7" s="6" t="n">
        <v>-95.23999999999999</v>
      </c>
      <c r="M7" s="16" t="n">
        <v>-0.965</v>
      </c>
      <c r="N7" s="13" t="inlineStr">
        <is>
          <t>STOP</t>
        </is>
      </c>
      <c r="O7" s="5" t="n">
        <v>94</v>
      </c>
      <c r="P7" s="17" t="n">
        <v>9778.66</v>
      </c>
    </row>
    <row r="8">
      <c r="A8" s="13" t="n">
        <v>5</v>
      </c>
      <c r="B8" s="13" t="inlineStr">
        <is>
          <t>XAUUSD</t>
        </is>
      </c>
      <c r="C8" s="13" t="inlineStr">
        <is>
          <t>2026-04-29 08:00</t>
        </is>
      </c>
      <c r="D8" s="13" t="inlineStr">
        <is>
          <t>2026-04-29 08:30</t>
        </is>
      </c>
      <c r="E8" s="24" t="inlineStr">
        <is>
          <t>SELL</t>
        </is>
      </c>
      <c r="F8" s="22" t="n">
        <v>4548.83</v>
      </c>
      <c r="G8" s="22" t="n">
        <v>4556.98</v>
      </c>
      <c r="H8" s="22" t="n">
        <v>4532.54</v>
      </c>
      <c r="I8" s="22" t="n">
        <v>4532.54</v>
      </c>
      <c r="J8" s="15" t="n">
        <v>0.11</v>
      </c>
      <c r="K8" s="23" t="n">
        <v>163</v>
      </c>
      <c r="L8" s="6" t="n">
        <v>156.1</v>
      </c>
      <c r="M8" s="16" t="n">
        <v>1.596</v>
      </c>
      <c r="N8" s="13" t="inlineStr">
        <is>
          <t>TARGET</t>
        </is>
      </c>
      <c r="O8" s="5" t="n">
        <v>93</v>
      </c>
      <c r="P8" s="17" t="n">
        <v>9934.76</v>
      </c>
    </row>
    <row r="9">
      <c r="A9" s="13" t="n">
        <v>6</v>
      </c>
      <c r="B9" s="13" t="inlineStr">
        <is>
          <t>XAUUSD</t>
        </is>
      </c>
      <c r="C9" s="13" t="inlineStr">
        <is>
          <t>2026-05-04 04:14</t>
        </is>
      </c>
      <c r="D9" s="13" t="inlineStr">
        <is>
          <t>2026-05-04 05:03</t>
        </is>
      </c>
      <c r="E9" s="24" t="inlineStr">
        <is>
          <t>SELL</t>
        </is>
      </c>
      <c r="F9" s="22" t="n">
        <v>4583.12</v>
      </c>
      <c r="G9" s="22" t="n">
        <v>4594.46</v>
      </c>
      <c r="H9" s="22" t="n">
        <v>4560.45</v>
      </c>
      <c r="I9" s="22" t="n">
        <v>4560.45</v>
      </c>
      <c r="J9" s="15" t="n">
        <v>0.08</v>
      </c>
      <c r="K9" s="23" t="n">
        <v>226.7</v>
      </c>
      <c r="L9" s="6" t="n">
        <v>158.16</v>
      </c>
      <c r="M9" s="16" t="n">
        <v>1.592</v>
      </c>
      <c r="N9" s="13" t="inlineStr">
        <is>
          <t>TARGET</t>
        </is>
      </c>
      <c r="O9" s="5" t="n">
        <v>91</v>
      </c>
      <c r="P9" s="17" t="n">
        <v>10092.92</v>
      </c>
    </row>
    <row r="10">
      <c r="A10" s="13" t="n">
        <v>7</v>
      </c>
      <c r="B10" s="13" t="inlineStr">
        <is>
          <t>XAUUSD</t>
        </is>
      </c>
      <c r="C10" s="13" t="inlineStr">
        <is>
          <t>2026-05-20 01:49</t>
        </is>
      </c>
      <c r="D10" s="13" t="inlineStr">
        <is>
          <t>2026-05-20 02:09</t>
        </is>
      </c>
      <c r="E10" s="24" t="inlineStr">
        <is>
          <t>SELL</t>
        </is>
      </c>
      <c r="F10" s="22" t="n">
        <v>4469.32</v>
      </c>
      <c r="G10" s="22" t="n">
        <v>4479.6</v>
      </c>
      <c r="H10" s="22" t="n">
        <v>4448.78</v>
      </c>
      <c r="I10" s="22" t="n">
        <v>4479.7</v>
      </c>
      <c r="J10" s="15" t="n">
        <v>0.09</v>
      </c>
      <c r="K10" s="23" t="n">
        <v>-103.7</v>
      </c>
      <c r="L10" s="6" t="n">
        <v>-93.98999999999999</v>
      </c>
      <c r="M10" s="16" t="n">
        <v>-0.931</v>
      </c>
      <c r="N10" s="13" t="inlineStr">
        <is>
          <t>STOP</t>
        </is>
      </c>
      <c r="O10" s="5" t="n">
        <v>91</v>
      </c>
      <c r="P10" s="17" t="n">
        <v>9998.93</v>
      </c>
    </row>
    <row r="11">
      <c r="A11" s="13" t="n">
        <v>8</v>
      </c>
      <c r="B11" s="13" t="inlineStr">
        <is>
          <t>XAUUSD</t>
        </is>
      </c>
      <c r="C11" s="13" t="inlineStr">
        <is>
          <t>2026-06-03 07:30</t>
        </is>
      </c>
      <c r="D11" s="13" t="inlineStr">
        <is>
          <t>2026-06-03 07:51</t>
        </is>
      </c>
      <c r="E11" s="24" t="inlineStr">
        <is>
          <t>SELL</t>
        </is>
      </c>
      <c r="F11" s="22" t="n">
        <v>4454.26</v>
      </c>
      <c r="G11" s="22" t="n">
        <v>4465.59</v>
      </c>
      <c r="H11" s="22" t="n">
        <v>4431.6</v>
      </c>
      <c r="I11" s="22" t="n">
        <v>4465.69</v>
      </c>
      <c r="J11" s="15" t="n">
        <v>0.08</v>
      </c>
      <c r="K11" s="23" t="n">
        <v>-114.3</v>
      </c>
      <c r="L11" s="6" t="n">
        <v>-91.98</v>
      </c>
      <c r="M11" s="16" t="n">
        <v>-0.92</v>
      </c>
      <c r="N11" s="13" t="inlineStr">
        <is>
          <t>STOP</t>
        </is>
      </c>
      <c r="O11" s="5" t="n">
        <v>91</v>
      </c>
      <c r="P11" s="17" t="n">
        <v>9906.950000000001</v>
      </c>
    </row>
    <row r="12">
      <c r="A12" s="13" t="n">
        <v>9</v>
      </c>
      <c r="B12" s="13" t="inlineStr">
        <is>
          <t>XAUUSD</t>
        </is>
      </c>
      <c r="C12" s="13" t="inlineStr">
        <is>
          <t>2026-06-23 07:19</t>
        </is>
      </c>
      <c r="D12" s="13" t="inlineStr">
        <is>
          <t>2026-06-23 08:26</t>
        </is>
      </c>
      <c r="E12" s="24" t="inlineStr">
        <is>
          <t>SELL</t>
        </is>
      </c>
      <c r="F12" s="22" t="n">
        <v>4118.55</v>
      </c>
      <c r="G12" s="22" t="n">
        <v>4129.94</v>
      </c>
      <c r="H12" s="22" t="n">
        <v>4095.75</v>
      </c>
      <c r="I12" s="22" t="n">
        <v>4118.35</v>
      </c>
      <c r="J12" s="15" t="n">
        <v>0.08</v>
      </c>
      <c r="K12" s="23" t="n">
        <v>2</v>
      </c>
      <c r="L12" s="6" t="n">
        <v>1.04</v>
      </c>
      <c r="M12" s="16" t="n">
        <v>0.01</v>
      </c>
      <c r="N12" s="13" t="inlineStr">
        <is>
          <t>BREAKEVEN</t>
        </is>
      </c>
      <c r="O12" s="5" t="n">
        <v>92</v>
      </c>
      <c r="P12" s="17" t="n">
        <v>9907.99</v>
      </c>
    </row>
    <row r="13">
      <c r="A13" s="13" t="n">
        <v>10</v>
      </c>
      <c r="B13" s="13" t="inlineStr">
        <is>
          <t>XAUUSD</t>
        </is>
      </c>
      <c r="C13" s="13" t="inlineStr">
        <is>
          <t>2026-06-29 08:31</t>
        </is>
      </c>
      <c r="D13" s="13" t="inlineStr">
        <is>
          <t>2026-06-29 09:06</t>
        </is>
      </c>
      <c r="E13" s="24" t="inlineStr">
        <is>
          <t>SELL</t>
        </is>
      </c>
      <c r="F13" s="22" t="n">
        <v>4042.63</v>
      </c>
      <c r="G13" s="22" t="n">
        <v>4052.76</v>
      </c>
      <c r="H13" s="22" t="n">
        <v>4022.37</v>
      </c>
      <c r="I13" s="22" t="n">
        <v>4022.37</v>
      </c>
      <c r="J13" s="15" t="n">
        <v>0.09</v>
      </c>
      <c r="K13" s="23" t="n">
        <v>202.6</v>
      </c>
      <c r="L13" s="6" t="n">
        <v>158.92</v>
      </c>
      <c r="M13" s="16" t="n">
        <v>1.604</v>
      </c>
      <c r="N13" s="13" t="inlineStr">
        <is>
          <t>TARGET</t>
        </is>
      </c>
      <c r="O13" s="5" t="n">
        <v>90</v>
      </c>
      <c r="P13" s="17" t="n">
        <v>10066.91</v>
      </c>
    </row>
    <row r="14">
      <c r="A14" s="13" t="n">
        <v>11</v>
      </c>
      <c r="B14" s="13" t="inlineStr">
        <is>
          <t>XAUUSD</t>
        </is>
      </c>
      <c r="C14" s="13" t="inlineStr">
        <is>
          <t>2026-07-28 03:15</t>
        </is>
      </c>
      <c r="D14" s="13" t="inlineStr">
        <is>
          <t>2026-07-28 04:57</t>
        </is>
      </c>
      <c r="E14" s="24" t="inlineStr">
        <is>
          <t>SELL</t>
        </is>
      </c>
      <c r="F14" s="22" t="n">
        <v>4044.99</v>
      </c>
      <c r="G14" s="22" t="n">
        <v>4055.91</v>
      </c>
      <c r="H14" s="22" t="n">
        <v>4023.13</v>
      </c>
      <c r="I14" s="22" t="n">
        <v>4023.13</v>
      </c>
      <c r="J14" s="15" t="n">
        <v>0.09</v>
      </c>
      <c r="K14" s="23" t="n">
        <v>218.6</v>
      </c>
      <c r="L14" s="6" t="n">
        <v>171.5</v>
      </c>
      <c r="M14" s="16" t="n">
        <v>1.704</v>
      </c>
      <c r="N14" s="13" t="inlineStr">
        <is>
          <t>TARGET</t>
        </is>
      </c>
      <c r="O14" s="5" t="n">
        <v>93</v>
      </c>
      <c r="P14" s="17" t="n">
        <v>10238.4</v>
      </c>
    </row>
    <row r="15">
      <c r="A15" s="13" t="n">
        <v>12</v>
      </c>
      <c r="B15" s="13" t="inlineStr">
        <is>
          <t>XAUUSD</t>
        </is>
      </c>
      <c r="C15" s="13" t="inlineStr">
        <is>
          <t>2026-07-31 07:30</t>
        </is>
      </c>
      <c r="D15" s="13" t="inlineStr">
        <is>
          <t>2026-07-31 08:36</t>
        </is>
      </c>
      <c r="E15" s="24" t="inlineStr">
        <is>
          <t>SELL</t>
        </is>
      </c>
      <c r="F15" s="22" t="n">
        <v>4050.77</v>
      </c>
      <c r="G15" s="22" t="n">
        <v>4060.14</v>
      </c>
      <c r="H15" s="22" t="n">
        <v>4032.04</v>
      </c>
      <c r="I15" s="22" t="n">
        <v>4032.04</v>
      </c>
      <c r="J15" s="15" t="n">
        <v>0.1</v>
      </c>
      <c r="K15" s="23" t="n">
        <v>187.3</v>
      </c>
      <c r="L15" s="6" t="n">
        <v>163.19</v>
      </c>
      <c r="M15" s="16" t="n">
        <v>1.594</v>
      </c>
      <c r="N15" s="13" t="inlineStr">
        <is>
          <t>TARGET</t>
        </is>
      </c>
      <c r="O15" s="5" t="n">
        <v>93</v>
      </c>
      <c r="P15" s="17" t="n">
        <v>10401.59</v>
      </c>
    </row>
    <row r="16">
      <c r="A16" s="13" t="n">
        <v>13</v>
      </c>
      <c r="B16" s="13" t="inlineStr">
        <is>
          <t>XAUUSD</t>
        </is>
      </c>
      <c r="C16" s="13" t="inlineStr">
        <is>
          <t>2026-08-12 02:18</t>
        </is>
      </c>
      <c r="D16" s="13" t="inlineStr">
        <is>
          <t>2026-08-12 02:48</t>
        </is>
      </c>
      <c r="E16" s="21" t="inlineStr">
        <is>
          <t>BUY</t>
        </is>
      </c>
      <c r="F16" s="22" t="n">
        <v>4398.93</v>
      </c>
      <c r="G16" s="22" t="n">
        <v>4393.71</v>
      </c>
      <c r="H16" s="22" t="n">
        <v>4409.37</v>
      </c>
      <c r="I16" s="22" t="n">
        <v>4409.37</v>
      </c>
      <c r="J16" s="15" t="n">
        <v>0.19</v>
      </c>
      <c r="K16" s="23" t="n">
        <v>104.4</v>
      </c>
      <c r="L16" s="6" t="n">
        <v>172.16</v>
      </c>
      <c r="M16" s="16" t="n">
        <v>1.655</v>
      </c>
      <c r="N16" s="13" t="inlineStr">
        <is>
          <t>TARGET</t>
        </is>
      </c>
      <c r="O16" s="5" t="n">
        <v>95</v>
      </c>
      <c r="P16" s="17" t="n">
        <v>10573.75</v>
      </c>
    </row>
    <row r="17">
      <c r="A17" s="25" t="n"/>
      <c r="B17" s="26" t="inlineStr">
        <is>
          <t>TOTAL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7" t="n">
        <v>623.5</v>
      </c>
      <c r="L17" s="28" t="n">
        <v>573.75</v>
      </c>
      <c r="M17" s="29" t="n">
        <v>5.683</v>
      </c>
      <c r="N17" s="25" t="n"/>
      <c r="O17" s="25" t="n"/>
      <c r="P17" s="25" t="n"/>
    </row>
  </sheetData>
  <mergeCells count="2">
    <mergeCell ref="A1:P1"/>
    <mergeCell ref="A2:P2"/>
  </mergeCells>
  <conditionalFormatting sqref="K4:M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17:M17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9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10" customWidth="1" min="11" max="11"/>
    <col width="13" customWidth="1" min="12" max="12"/>
    <col width="9" customWidth="1" min="13" max="13"/>
    <col width="11" customWidth="1" min="14" max="14"/>
    <col width="7" customWidth="1" min="15" max="15"/>
    <col width="13" customWidth="1" min="16" max="16"/>
  </cols>
  <sheetData>
    <row r="1" ht="30" customHeight="1">
      <c r="A1" s="1" t="inlineStr">
        <is>
          <t>XAUUSD SNIPER 87 — TRADE LOG (2% risk)</t>
        </is>
      </c>
    </row>
    <row r="2">
      <c r="A2" s="2" t="inlineStr">
        <is>
          <t>All times US Central (America/Chicago). Pips: 1 pip = $0.10. Positive pips/P&amp;L green, negative red.</t>
        </is>
      </c>
    </row>
    <row r="3" ht="28" customHeight="1">
      <c r="A3" s="3" t="inlineStr">
        <is>
          <t>#</t>
        </is>
      </c>
      <c r="B3" s="3" t="inlineStr">
        <is>
          <t>Pair</t>
        </is>
      </c>
      <c r="C3" s="3" t="inlineStr">
        <is>
          <t>Entry Date/Time (CT)</t>
        </is>
      </c>
      <c r="D3" s="3" t="inlineStr">
        <is>
          <t>Exit Date/Time (CT)</t>
        </is>
      </c>
      <c r="E3" s="3" t="inlineStr">
        <is>
          <t>Side</t>
        </is>
      </c>
      <c r="F3" s="3" t="inlineStr">
        <is>
          <t>Entry</t>
        </is>
      </c>
      <c r="G3" s="3" t="inlineStr">
        <is>
          <t>Stop</t>
        </is>
      </c>
      <c r="H3" s="3" t="inlineStr">
        <is>
          <t>Target</t>
        </is>
      </c>
      <c r="I3" s="3" t="inlineStr">
        <is>
          <t>Exit</t>
        </is>
      </c>
      <c r="J3" s="3" t="inlineStr">
        <is>
          <t>Lots</t>
        </is>
      </c>
      <c r="K3" s="3" t="inlineStr">
        <is>
          <t>Pips</t>
        </is>
      </c>
      <c r="L3" s="3" t="inlineStr">
        <is>
          <t>P/L ($)</t>
        </is>
      </c>
      <c r="M3" s="3" t="inlineStr">
        <is>
          <t>R</t>
        </is>
      </c>
      <c r="N3" s="3" t="inlineStr">
        <is>
          <t>Result</t>
        </is>
      </c>
      <c r="O3" s="3" t="inlineStr">
        <is>
          <t>Score</t>
        </is>
      </c>
      <c r="P3" s="3" t="inlineStr">
        <is>
          <t>Balance ($)</t>
        </is>
      </c>
    </row>
    <row r="4">
      <c r="A4" s="13" t="n">
        <v>1</v>
      </c>
      <c r="B4" s="13" t="inlineStr">
        <is>
          <t>XAUUSD</t>
        </is>
      </c>
      <c r="C4" s="13" t="inlineStr">
        <is>
          <t>2026-01-23 07:08</t>
        </is>
      </c>
      <c r="D4" s="13" t="inlineStr">
        <is>
          <t>2026-01-23 07:20</t>
        </is>
      </c>
      <c r="E4" s="21" t="inlineStr">
        <is>
          <t>BUY</t>
        </is>
      </c>
      <c r="F4" s="22" t="n">
        <v>4941.19</v>
      </c>
      <c r="G4" s="22" t="n">
        <v>4932.68</v>
      </c>
      <c r="H4" s="22" t="n">
        <v>4958.21</v>
      </c>
      <c r="I4" s="22" t="n">
        <v>4932.58</v>
      </c>
      <c r="J4" s="15" t="n">
        <v>0.23</v>
      </c>
      <c r="K4" s="23" t="n">
        <v>-86.09999999999999</v>
      </c>
      <c r="L4" s="6" t="n">
        <v>-199.66</v>
      </c>
      <c r="M4" s="16" t="n">
        <v>-0.998</v>
      </c>
      <c r="N4" s="13" t="inlineStr">
        <is>
          <t>STOP</t>
        </is>
      </c>
      <c r="O4" s="5" t="n">
        <v>94</v>
      </c>
      <c r="P4" s="17" t="n">
        <v>9800.34</v>
      </c>
    </row>
    <row r="5">
      <c r="A5" s="13" t="n">
        <v>2</v>
      </c>
      <c r="B5" s="13" t="inlineStr">
        <is>
          <t>XAUUSD</t>
        </is>
      </c>
      <c r="C5" s="13" t="inlineStr">
        <is>
          <t>2026-02-20 08:56</t>
        </is>
      </c>
      <c r="D5" s="13" t="inlineStr">
        <is>
          <t>2026-02-20 09:02</t>
        </is>
      </c>
      <c r="E5" s="21" t="inlineStr">
        <is>
          <t>BUY</t>
        </is>
      </c>
      <c r="F5" s="22" t="n">
        <v>5050.85</v>
      </c>
      <c r="G5" s="22" t="n">
        <v>5043.06</v>
      </c>
      <c r="H5" s="22" t="n">
        <v>5066.41</v>
      </c>
      <c r="I5" s="22" t="n">
        <v>5051.05</v>
      </c>
      <c r="J5" s="15" t="n">
        <v>0.25</v>
      </c>
      <c r="K5" s="23" t="n">
        <v>2</v>
      </c>
      <c r="L5" s="6" t="n">
        <v>146.63</v>
      </c>
      <c r="M5" s="16" t="n">
        <v>0.748</v>
      </c>
      <c r="N5" s="13" t="inlineStr">
        <is>
          <t>BREAKEVEN</t>
        </is>
      </c>
      <c r="O5" s="5" t="n">
        <v>91</v>
      </c>
      <c r="P5" s="17" t="n">
        <v>9946.959999999999</v>
      </c>
    </row>
    <row r="6">
      <c r="A6" s="13" t="n">
        <v>3</v>
      </c>
      <c r="B6" s="13" t="inlineStr">
        <is>
          <t>XAUUSD</t>
        </is>
      </c>
      <c r="C6" s="13" t="inlineStr">
        <is>
          <t>2026-02-25 02:51</t>
        </is>
      </c>
      <c r="D6" s="13" t="inlineStr">
        <is>
          <t>2026-02-25 03:03</t>
        </is>
      </c>
      <c r="E6" s="21" t="inlineStr">
        <is>
          <t>BUY</t>
        </is>
      </c>
      <c r="F6" s="22" t="n">
        <v>5189.29</v>
      </c>
      <c r="G6" s="22" t="n">
        <v>5179.36</v>
      </c>
      <c r="H6" s="22" t="n">
        <v>5209.15</v>
      </c>
      <c r="I6" s="22" t="n">
        <v>5179.26</v>
      </c>
      <c r="J6" s="15" t="n">
        <v>0.2</v>
      </c>
      <c r="K6" s="23" t="n">
        <v>-100.3</v>
      </c>
      <c r="L6" s="6" t="n">
        <v>-201.98</v>
      </c>
      <c r="M6" s="16" t="n">
        <v>-1.015</v>
      </c>
      <c r="N6" s="13" t="inlineStr">
        <is>
          <t>STOP</t>
        </is>
      </c>
      <c r="O6" s="5" t="n">
        <v>92</v>
      </c>
      <c r="P6" s="17" t="n">
        <v>9744.98</v>
      </c>
    </row>
    <row r="7">
      <c r="A7" s="13" t="n">
        <v>4</v>
      </c>
      <c r="B7" s="13" t="inlineStr">
        <is>
          <t>XAUUSD</t>
        </is>
      </c>
      <c r="C7" s="13" t="inlineStr">
        <is>
          <t>2026-02-26 02:18</t>
        </is>
      </c>
      <c r="D7" s="13" t="inlineStr">
        <is>
          <t>2026-02-26 02:27</t>
        </is>
      </c>
      <c r="E7" s="21" t="inlineStr">
        <is>
          <t>BUY</t>
        </is>
      </c>
      <c r="F7" s="22" t="n">
        <v>5186.22</v>
      </c>
      <c r="G7" s="22" t="n">
        <v>5178.45</v>
      </c>
      <c r="H7" s="22" t="n">
        <v>5201.75</v>
      </c>
      <c r="I7" s="22" t="n">
        <v>5178.35</v>
      </c>
      <c r="J7" s="15" t="n">
        <v>0.25</v>
      </c>
      <c r="K7" s="23" t="n">
        <v>-78.7</v>
      </c>
      <c r="L7" s="6" t="n">
        <v>-198.41</v>
      </c>
      <c r="M7" s="16" t="n">
        <v>-1.018</v>
      </c>
      <c r="N7" s="13" t="inlineStr">
        <is>
          <t>STOP</t>
        </is>
      </c>
      <c r="O7" s="5" t="n">
        <v>94</v>
      </c>
      <c r="P7" s="17" t="n">
        <v>9546.58</v>
      </c>
    </row>
    <row r="8">
      <c r="A8" s="13" t="n">
        <v>5</v>
      </c>
      <c r="B8" s="13" t="inlineStr">
        <is>
          <t>XAUUSD</t>
        </is>
      </c>
      <c r="C8" s="13" t="inlineStr">
        <is>
          <t>2026-04-29 08:00</t>
        </is>
      </c>
      <c r="D8" s="13" t="inlineStr">
        <is>
          <t>2026-04-29 08:30</t>
        </is>
      </c>
      <c r="E8" s="24" t="inlineStr">
        <is>
          <t>SELL</t>
        </is>
      </c>
      <c r="F8" s="22" t="n">
        <v>4548.83</v>
      </c>
      <c r="G8" s="22" t="n">
        <v>4556.98</v>
      </c>
      <c r="H8" s="22" t="n">
        <v>4532.54</v>
      </c>
      <c r="I8" s="22" t="n">
        <v>4532.54</v>
      </c>
      <c r="J8" s="15" t="n">
        <v>0.23</v>
      </c>
      <c r="K8" s="23" t="n">
        <v>163</v>
      </c>
      <c r="L8" s="6" t="n">
        <v>326.38</v>
      </c>
      <c r="M8" s="16" t="n">
        <v>1.709</v>
      </c>
      <c r="N8" s="13" t="inlineStr">
        <is>
          <t>TARGET</t>
        </is>
      </c>
      <c r="O8" s="5" t="n">
        <v>93</v>
      </c>
      <c r="P8" s="17" t="n">
        <v>9872.959999999999</v>
      </c>
    </row>
    <row r="9">
      <c r="A9" s="13" t="n">
        <v>6</v>
      </c>
      <c r="B9" s="13" t="inlineStr">
        <is>
          <t>XAUUSD</t>
        </is>
      </c>
      <c r="C9" s="13" t="inlineStr">
        <is>
          <t>2026-05-04 04:14</t>
        </is>
      </c>
      <c r="D9" s="13" t="inlineStr">
        <is>
          <t>2026-05-04 05:03</t>
        </is>
      </c>
      <c r="E9" s="24" t="inlineStr">
        <is>
          <t>SELL</t>
        </is>
      </c>
      <c r="F9" s="22" t="n">
        <v>4583.12</v>
      </c>
      <c r="G9" s="22" t="n">
        <v>4594.46</v>
      </c>
      <c r="H9" s="22" t="n">
        <v>4560.45</v>
      </c>
      <c r="I9" s="22" t="n">
        <v>4560.45</v>
      </c>
      <c r="J9" s="15" t="n">
        <v>0.17</v>
      </c>
      <c r="K9" s="23" t="n">
        <v>226.7</v>
      </c>
      <c r="L9" s="6" t="n">
        <v>336.09</v>
      </c>
      <c r="M9" s="16" t="n">
        <v>1.702</v>
      </c>
      <c r="N9" s="13" t="inlineStr">
        <is>
          <t>TARGET</t>
        </is>
      </c>
      <c r="O9" s="5" t="n">
        <v>91</v>
      </c>
      <c r="P9" s="17" t="n">
        <v>10209.05</v>
      </c>
    </row>
    <row r="10">
      <c r="A10" s="13" t="n">
        <v>7</v>
      </c>
      <c r="B10" s="13" t="inlineStr">
        <is>
          <t>XAUUSD</t>
        </is>
      </c>
      <c r="C10" s="13" t="inlineStr">
        <is>
          <t>2026-05-20 01:49</t>
        </is>
      </c>
      <c r="D10" s="13" t="inlineStr">
        <is>
          <t>2026-05-20 02:09</t>
        </is>
      </c>
      <c r="E10" s="24" t="inlineStr">
        <is>
          <t>SELL</t>
        </is>
      </c>
      <c r="F10" s="22" t="n">
        <v>4469.32</v>
      </c>
      <c r="G10" s="22" t="n">
        <v>4479.6</v>
      </c>
      <c r="H10" s="22" t="n">
        <v>4448.78</v>
      </c>
      <c r="I10" s="22" t="n">
        <v>4479.7</v>
      </c>
      <c r="J10" s="15" t="n">
        <v>0.19</v>
      </c>
      <c r="K10" s="23" t="n">
        <v>-103.7</v>
      </c>
      <c r="L10" s="6" t="n">
        <v>-198.42</v>
      </c>
      <c r="M10" s="16" t="n">
        <v>-0.972</v>
      </c>
      <c r="N10" s="13" t="inlineStr">
        <is>
          <t>STOP</t>
        </is>
      </c>
      <c r="O10" s="5" t="n">
        <v>91</v>
      </c>
      <c r="P10" s="17" t="n">
        <v>10010.63</v>
      </c>
    </row>
    <row r="11">
      <c r="A11" s="13" t="n">
        <v>8</v>
      </c>
      <c r="B11" s="13" t="inlineStr">
        <is>
          <t>XAUUSD</t>
        </is>
      </c>
      <c r="C11" s="13" t="inlineStr">
        <is>
          <t>2026-06-03 07:30</t>
        </is>
      </c>
      <c r="D11" s="13" t="inlineStr">
        <is>
          <t>2026-06-03 07:51</t>
        </is>
      </c>
      <c r="E11" s="24" t="inlineStr">
        <is>
          <t>SELL</t>
        </is>
      </c>
      <c r="F11" s="22" t="n">
        <v>4454.26</v>
      </c>
      <c r="G11" s="22" t="n">
        <v>4465.59</v>
      </c>
      <c r="H11" s="22" t="n">
        <v>4431.6</v>
      </c>
      <c r="I11" s="22" t="n">
        <v>4465.69</v>
      </c>
      <c r="J11" s="15" t="n">
        <v>0.17</v>
      </c>
      <c r="K11" s="23" t="n">
        <v>-114.3</v>
      </c>
      <c r="L11" s="6" t="n">
        <v>-195.46</v>
      </c>
      <c r="M11" s="16" t="n">
        <v>-0.976</v>
      </c>
      <c r="N11" s="13" t="inlineStr">
        <is>
          <t>STOP</t>
        </is>
      </c>
      <c r="O11" s="5" t="n">
        <v>91</v>
      </c>
      <c r="P11" s="17" t="n">
        <v>9815.17</v>
      </c>
    </row>
    <row r="12">
      <c r="A12" s="13" t="n">
        <v>9</v>
      </c>
      <c r="B12" s="13" t="inlineStr">
        <is>
          <t>XAUUSD</t>
        </is>
      </c>
      <c r="C12" s="13" t="inlineStr">
        <is>
          <t>2026-06-23 07:19</t>
        </is>
      </c>
      <c r="D12" s="13" t="inlineStr">
        <is>
          <t>2026-06-23 08:26</t>
        </is>
      </c>
      <c r="E12" s="24" t="inlineStr">
        <is>
          <t>SELL</t>
        </is>
      </c>
      <c r="F12" s="22" t="n">
        <v>4118.55</v>
      </c>
      <c r="G12" s="22" t="n">
        <v>4129.94</v>
      </c>
      <c r="H12" s="22" t="n">
        <v>4095.75</v>
      </c>
      <c r="I12" s="22" t="n">
        <v>4118.35</v>
      </c>
      <c r="J12" s="15" t="n">
        <v>0.17</v>
      </c>
      <c r="K12" s="23" t="n">
        <v>2</v>
      </c>
      <c r="L12" s="6" t="n">
        <v>2.21</v>
      </c>
      <c r="M12" s="16" t="n">
        <v>0.011</v>
      </c>
      <c r="N12" s="13" t="inlineStr">
        <is>
          <t>BREAKEVEN</t>
        </is>
      </c>
      <c r="O12" s="5" t="n">
        <v>92</v>
      </c>
      <c r="P12" s="17" t="n">
        <v>9817.379999999999</v>
      </c>
    </row>
    <row r="13">
      <c r="A13" s="13" t="n">
        <v>10</v>
      </c>
      <c r="B13" s="13" t="inlineStr">
        <is>
          <t>XAUUSD</t>
        </is>
      </c>
      <c r="C13" s="13" t="inlineStr">
        <is>
          <t>2026-06-29 08:31</t>
        </is>
      </c>
      <c r="D13" s="13" t="inlineStr">
        <is>
          <t>2026-06-29 09:06</t>
        </is>
      </c>
      <c r="E13" s="24" t="inlineStr">
        <is>
          <t>SELL</t>
        </is>
      </c>
      <c r="F13" s="22" t="n">
        <v>4042.63</v>
      </c>
      <c r="G13" s="22" t="n">
        <v>4052.76</v>
      </c>
      <c r="H13" s="22" t="n">
        <v>4022.37</v>
      </c>
      <c r="I13" s="22" t="n">
        <v>4022.37</v>
      </c>
      <c r="J13" s="15" t="n">
        <v>0.19</v>
      </c>
      <c r="K13" s="23" t="n">
        <v>202.6</v>
      </c>
      <c r="L13" s="6" t="n">
        <v>335.49</v>
      </c>
      <c r="M13" s="16" t="n">
        <v>1.709</v>
      </c>
      <c r="N13" s="13" t="inlineStr">
        <is>
          <t>TARGET</t>
        </is>
      </c>
      <c r="O13" s="5" t="n">
        <v>90</v>
      </c>
      <c r="P13" s="17" t="n">
        <v>10152.87</v>
      </c>
    </row>
    <row r="14">
      <c r="A14" s="13" t="n">
        <v>11</v>
      </c>
      <c r="B14" s="13" t="inlineStr">
        <is>
          <t>XAUUSD</t>
        </is>
      </c>
      <c r="C14" s="13" t="inlineStr">
        <is>
          <t>2026-07-28 03:15</t>
        </is>
      </c>
      <c r="D14" s="13" t="inlineStr">
        <is>
          <t>2026-07-28 04:57</t>
        </is>
      </c>
      <c r="E14" s="24" t="inlineStr">
        <is>
          <t>SELL</t>
        </is>
      </c>
      <c r="F14" s="22" t="n">
        <v>4044.99</v>
      </c>
      <c r="G14" s="22" t="n">
        <v>4055.91</v>
      </c>
      <c r="H14" s="22" t="n">
        <v>4023.13</v>
      </c>
      <c r="I14" s="22" t="n">
        <v>4023.13</v>
      </c>
      <c r="J14" s="15" t="n">
        <v>0.18</v>
      </c>
      <c r="K14" s="23" t="n">
        <v>218.6</v>
      </c>
      <c r="L14" s="6" t="n">
        <v>343</v>
      </c>
      <c r="M14" s="16" t="n">
        <v>1.689</v>
      </c>
      <c r="N14" s="13" t="inlineStr">
        <is>
          <t>TARGET</t>
        </is>
      </c>
      <c r="O14" s="5" t="n">
        <v>93</v>
      </c>
      <c r="P14" s="17" t="n">
        <v>10495.86</v>
      </c>
    </row>
    <row r="15">
      <c r="A15" s="13" t="n">
        <v>12</v>
      </c>
      <c r="B15" s="13" t="inlineStr">
        <is>
          <t>XAUUSD</t>
        </is>
      </c>
      <c r="C15" s="13" t="inlineStr">
        <is>
          <t>2026-07-31 07:30</t>
        </is>
      </c>
      <c r="D15" s="13" t="inlineStr">
        <is>
          <t>2026-07-31 08:36</t>
        </is>
      </c>
      <c r="E15" s="24" t="inlineStr">
        <is>
          <t>SELL</t>
        </is>
      </c>
      <c r="F15" s="22" t="n">
        <v>4050.77</v>
      </c>
      <c r="G15" s="22" t="n">
        <v>4060.14</v>
      </c>
      <c r="H15" s="22" t="n">
        <v>4032.04</v>
      </c>
      <c r="I15" s="22" t="n">
        <v>4032.04</v>
      </c>
      <c r="J15" s="15" t="n">
        <v>0.22</v>
      </c>
      <c r="K15" s="23" t="n">
        <v>187.3</v>
      </c>
      <c r="L15" s="6" t="n">
        <v>359.02</v>
      </c>
      <c r="M15" s="16" t="n">
        <v>1.71</v>
      </c>
      <c r="N15" s="13" t="inlineStr">
        <is>
          <t>TARGET</t>
        </is>
      </c>
      <c r="O15" s="5" t="n">
        <v>93</v>
      </c>
      <c r="P15" s="17" t="n">
        <v>10854.88</v>
      </c>
    </row>
    <row r="16">
      <c r="A16" s="13" t="n">
        <v>13</v>
      </c>
      <c r="B16" s="13" t="inlineStr">
        <is>
          <t>XAUUSD</t>
        </is>
      </c>
      <c r="C16" s="13" t="inlineStr">
        <is>
          <t>2026-08-12 02:18</t>
        </is>
      </c>
      <c r="D16" s="13" t="inlineStr">
        <is>
          <t>2026-08-12 02:48</t>
        </is>
      </c>
      <c r="E16" s="21" t="inlineStr">
        <is>
          <t>BUY</t>
        </is>
      </c>
      <c r="F16" s="22" t="n">
        <v>4398.93</v>
      </c>
      <c r="G16" s="22" t="n">
        <v>4393.71</v>
      </c>
      <c r="H16" s="22" t="n">
        <v>4409.37</v>
      </c>
      <c r="I16" s="22" t="n">
        <v>4409.37</v>
      </c>
      <c r="J16" s="15" t="n">
        <v>0.41</v>
      </c>
      <c r="K16" s="23" t="n">
        <v>104.4</v>
      </c>
      <c r="L16" s="6" t="n">
        <v>371.5</v>
      </c>
      <c r="M16" s="16" t="n">
        <v>1.711</v>
      </c>
      <c r="N16" s="13" t="inlineStr">
        <is>
          <t>TARGET</t>
        </is>
      </c>
      <c r="O16" s="5" t="n">
        <v>95</v>
      </c>
      <c r="P16" s="17" t="n">
        <v>11226.38</v>
      </c>
    </row>
    <row r="17">
      <c r="A17" s="25" t="n"/>
      <c r="B17" s="26" t="inlineStr">
        <is>
          <t>TOTAL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7" t="n">
        <v>623.5</v>
      </c>
      <c r="L17" s="28" t="n">
        <v>1226.38</v>
      </c>
      <c r="M17" s="29" t="n">
        <v>6.01</v>
      </c>
      <c r="N17" s="25" t="n"/>
      <c r="O17" s="25" t="n"/>
      <c r="P17" s="25" t="n"/>
    </row>
  </sheetData>
  <mergeCells count="2">
    <mergeCell ref="A1:P1"/>
    <mergeCell ref="A2:P2"/>
  </mergeCells>
  <conditionalFormatting sqref="K4:M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17:M17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SNIPER 87 — DAILY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DAILY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2026-01-23</t>
        </is>
      </c>
      <c r="B4" s="5" t="n">
        <v>1</v>
      </c>
      <c r="C4" s="5" t="n">
        <v>0</v>
      </c>
      <c r="D4" s="5" t="n">
        <v>1</v>
      </c>
      <c r="E4" s="6" t="n">
        <v>-95.48999999999999</v>
      </c>
      <c r="F4" s="30" t="n">
        <v>-0.009549080623076</v>
      </c>
      <c r="G4" s="6" t="n">
        <v>-95.48999999999999</v>
      </c>
    </row>
    <row r="5">
      <c r="A5" s="11" t="inlineStr">
        <is>
          <t>2026-02-20</t>
        </is>
      </c>
      <c r="B5" s="5" t="n">
        <v>1</v>
      </c>
      <c r="C5" s="5" t="n">
        <v>1</v>
      </c>
      <c r="D5" s="5" t="n">
        <v>0</v>
      </c>
      <c r="E5" s="6" t="n">
        <v>70.38</v>
      </c>
      <c r="F5" s="30" t="n">
        <v>0.007038113858697048</v>
      </c>
      <c r="G5" s="6" t="n">
        <v>-25.11</v>
      </c>
    </row>
    <row r="6">
      <c r="A6" s="11" t="inlineStr">
        <is>
          <t>2026-02-25</t>
        </is>
      </c>
      <c r="B6" s="5" t="n">
        <v>1</v>
      </c>
      <c r="C6" s="5" t="n">
        <v>0</v>
      </c>
      <c r="D6" s="5" t="n">
        <v>1</v>
      </c>
      <c r="E6" s="6" t="n">
        <v>-100.99</v>
      </c>
      <c r="F6" s="30" t="n">
        <v>-0.01009900365144433</v>
      </c>
      <c r="G6" s="6" t="n">
        <v>-126.1</v>
      </c>
    </row>
    <row r="7">
      <c r="A7" s="11" t="inlineStr">
        <is>
          <t>2026-02-26</t>
        </is>
      </c>
      <c r="B7" s="5" t="n">
        <v>1</v>
      </c>
      <c r="C7" s="5" t="n">
        <v>0</v>
      </c>
      <c r="D7" s="5" t="n">
        <v>1</v>
      </c>
      <c r="E7" s="6" t="n">
        <v>-95.23999999999999</v>
      </c>
      <c r="F7" s="30" t="n">
        <v>-0.009523665411919489</v>
      </c>
      <c r="G7" s="6" t="n">
        <v>-221.34</v>
      </c>
    </row>
    <row r="8">
      <c r="A8" s="11" t="inlineStr">
        <is>
          <t>2026-04-29</t>
        </is>
      </c>
      <c r="B8" s="5" t="n">
        <v>1</v>
      </c>
      <c r="C8" s="5" t="n">
        <v>1</v>
      </c>
      <c r="D8" s="5" t="n">
        <v>0</v>
      </c>
      <c r="E8" s="6" t="n">
        <v>156.1</v>
      </c>
      <c r="F8" s="30" t="n">
        <v>0.01560970224499428</v>
      </c>
      <c r="G8" s="6" t="n">
        <v>-65.23999999999999</v>
      </c>
    </row>
    <row r="9">
      <c r="A9" s="11" t="inlineStr">
        <is>
          <t>2026-05-04</t>
        </is>
      </c>
      <c r="B9" s="5" t="n">
        <v>1</v>
      </c>
      <c r="C9" s="5" t="n">
        <v>1</v>
      </c>
      <c r="D9" s="5" t="n">
        <v>0</v>
      </c>
      <c r="E9" s="6" t="n">
        <v>158.16</v>
      </c>
      <c r="F9" s="30" t="n">
        <v>0.01581615825847343</v>
      </c>
      <c r="G9" s="6" t="n">
        <v>92.92</v>
      </c>
    </row>
    <row r="10">
      <c r="A10" s="11" t="inlineStr">
        <is>
          <t>2026-05-20</t>
        </is>
      </c>
      <c r="B10" s="5" t="n">
        <v>1</v>
      </c>
      <c r="C10" s="5" t="n">
        <v>0</v>
      </c>
      <c r="D10" s="5" t="n">
        <v>1</v>
      </c>
      <c r="E10" s="6" t="n">
        <v>-93.98999999999999</v>
      </c>
      <c r="F10" s="30" t="n">
        <v>-0.009399077613029374</v>
      </c>
      <c r="G10" s="6" t="n">
        <v>-1.07</v>
      </c>
    </row>
    <row r="11">
      <c r="A11" s="11" t="inlineStr">
        <is>
          <t>2026-06-03</t>
        </is>
      </c>
      <c r="B11" s="5" t="n">
        <v>1</v>
      </c>
      <c r="C11" s="5" t="n">
        <v>0</v>
      </c>
      <c r="D11" s="5" t="n">
        <v>1</v>
      </c>
      <c r="E11" s="6" t="n">
        <v>-91.98</v>
      </c>
      <c r="F11" s="30" t="n">
        <v>-0.009198010067365483</v>
      </c>
      <c r="G11" s="6" t="n">
        <v>-93.05</v>
      </c>
    </row>
    <row r="12">
      <c r="A12" s="11" t="inlineStr">
        <is>
          <t>2026-06-23</t>
        </is>
      </c>
      <c r="B12" s="5" t="n">
        <v>1</v>
      </c>
      <c r="C12" s="5" t="n">
        <v>1</v>
      </c>
      <c r="D12" s="5" t="n">
        <v>0</v>
      </c>
      <c r="E12" s="6" t="n">
        <v>1.04</v>
      </c>
      <c r="F12" s="30" t="n">
        <v>0.0001039999999998545</v>
      </c>
      <c r="G12" s="6" t="n">
        <v>-92.01000000000001</v>
      </c>
    </row>
    <row r="13">
      <c r="A13" s="11" t="inlineStr">
        <is>
          <t>2026-06-29</t>
        </is>
      </c>
      <c r="B13" s="5" t="n">
        <v>1</v>
      </c>
      <c r="C13" s="5" t="n">
        <v>1</v>
      </c>
      <c r="D13" s="5" t="n">
        <v>0</v>
      </c>
      <c r="E13" s="6" t="n">
        <v>158.92</v>
      </c>
      <c r="F13" s="30" t="n">
        <v>0.0158915348652548</v>
      </c>
      <c r="G13" s="6" t="n">
        <v>66.91</v>
      </c>
    </row>
    <row r="14">
      <c r="A14" s="11" t="inlineStr">
        <is>
          <t>2026-07-28</t>
        </is>
      </c>
      <c r="B14" s="5" t="n">
        <v>1</v>
      </c>
      <c r="C14" s="5" t="n">
        <v>1</v>
      </c>
      <c r="D14" s="5" t="n">
        <v>0</v>
      </c>
      <c r="E14" s="6" t="n">
        <v>171.5</v>
      </c>
      <c r="F14" s="30" t="n">
        <v>0.01714976957152445</v>
      </c>
      <c r="G14" s="6" t="n">
        <v>238.4</v>
      </c>
    </row>
    <row r="15">
      <c r="A15" s="11" t="inlineStr">
        <is>
          <t>2026-07-31</t>
        </is>
      </c>
      <c r="B15" s="5" t="n">
        <v>1</v>
      </c>
      <c r="C15" s="5" t="n">
        <v>1</v>
      </c>
      <c r="D15" s="5" t="n">
        <v>0</v>
      </c>
      <c r="E15" s="6" t="n">
        <v>163.19</v>
      </c>
      <c r="F15" s="30" t="n">
        <v>0.01631897781916853</v>
      </c>
      <c r="G15" s="6" t="n">
        <v>401.59</v>
      </c>
    </row>
    <row r="16">
      <c r="A16" s="11" t="inlineStr">
        <is>
          <t>2026-08-12</t>
        </is>
      </c>
      <c r="B16" s="5" t="n">
        <v>1</v>
      </c>
      <c r="C16" s="5" t="n">
        <v>1</v>
      </c>
      <c r="D16" s="5" t="n">
        <v>0</v>
      </c>
      <c r="E16" s="6" t="n">
        <v>172.16</v>
      </c>
      <c r="F16" s="30" t="n">
        <v>0.01721570366533587</v>
      </c>
      <c r="G16" s="6" t="n">
        <v>573.75</v>
      </c>
    </row>
    <row r="17">
      <c r="A17" s="31" t="inlineStr">
        <is>
          <t>TOTAL</t>
        </is>
      </c>
      <c r="B17" s="32" t="n">
        <v>13</v>
      </c>
      <c r="C17" s="32" t="n">
        <v>8</v>
      </c>
      <c r="D17" s="32" t="n">
        <v>5</v>
      </c>
      <c r="E17" s="28" t="n">
        <v>573.75</v>
      </c>
      <c r="F17" s="33" t="n">
        <v>0.05737512291661359</v>
      </c>
      <c r="G17" s="28" t="n">
        <v>573.75</v>
      </c>
    </row>
  </sheetData>
  <mergeCells count="2">
    <mergeCell ref="A2:G2"/>
    <mergeCell ref="A1:G1"/>
  </mergeCells>
  <conditionalFormatting sqref="E4:G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7:G17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SNIPER 87 — WEEKLY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WEEKLY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Week of 2026-01-19</t>
        </is>
      </c>
      <c r="B4" s="5" t="n">
        <v>1</v>
      </c>
      <c r="C4" s="5" t="n">
        <v>0</v>
      </c>
      <c r="D4" s="5" t="n">
        <v>1</v>
      </c>
      <c r="E4" s="6" t="n">
        <v>-95.48999999999999</v>
      </c>
      <c r="F4" s="30" t="n">
        <v>-0.009549080623076</v>
      </c>
      <c r="G4" s="6" t="n">
        <v>-95.48999999999999</v>
      </c>
    </row>
    <row r="5">
      <c r="A5" s="11" t="inlineStr">
        <is>
          <t>Week of 2026-02-16</t>
        </is>
      </c>
      <c r="B5" s="5" t="n">
        <v>1</v>
      </c>
      <c r="C5" s="5" t="n">
        <v>1</v>
      </c>
      <c r="D5" s="5" t="n">
        <v>0</v>
      </c>
      <c r="E5" s="6" t="n">
        <v>70.38</v>
      </c>
      <c r="F5" s="30" t="n">
        <v>0.007038113858697048</v>
      </c>
      <c r="G5" s="6" t="n">
        <v>-25.11</v>
      </c>
    </row>
    <row r="6">
      <c r="A6" s="11" t="inlineStr">
        <is>
          <t>Week of 2026-02-23</t>
        </is>
      </c>
      <c r="B6" s="5" t="n">
        <v>2</v>
      </c>
      <c r="C6" s="5" t="n">
        <v>0</v>
      </c>
      <c r="D6" s="5" t="n">
        <v>2</v>
      </c>
      <c r="E6" s="6" t="n">
        <v>-196.23</v>
      </c>
      <c r="F6" s="30" t="n">
        <v>-0.01962266906336382</v>
      </c>
      <c r="G6" s="6" t="n">
        <v>-221.34</v>
      </c>
    </row>
    <row r="7">
      <c r="A7" s="11" t="inlineStr">
        <is>
          <t>Week of 2026-04-27</t>
        </is>
      </c>
      <c r="B7" s="5" t="n">
        <v>1</v>
      </c>
      <c r="C7" s="5" t="n">
        <v>1</v>
      </c>
      <c r="D7" s="5" t="n">
        <v>0</v>
      </c>
      <c r="E7" s="6" t="n">
        <v>156.1</v>
      </c>
      <c r="F7" s="30" t="n">
        <v>0.01560970224499428</v>
      </c>
      <c r="G7" s="6" t="n">
        <v>-65.23999999999999</v>
      </c>
    </row>
    <row r="8">
      <c r="A8" s="11" t="inlineStr">
        <is>
          <t>Week of 2026-05-04</t>
        </is>
      </c>
      <c r="B8" s="5" t="n">
        <v>1</v>
      </c>
      <c r="C8" s="5" t="n">
        <v>1</v>
      </c>
      <c r="D8" s="5" t="n">
        <v>0</v>
      </c>
      <c r="E8" s="6" t="n">
        <v>158.16</v>
      </c>
      <c r="F8" s="30" t="n">
        <v>0.01581615825847343</v>
      </c>
      <c r="G8" s="6" t="n">
        <v>92.92</v>
      </c>
    </row>
    <row r="9">
      <c r="A9" s="11" t="inlineStr">
        <is>
          <t>Week of 2026-05-18</t>
        </is>
      </c>
      <c r="B9" s="5" t="n">
        <v>1</v>
      </c>
      <c r="C9" s="5" t="n">
        <v>0</v>
      </c>
      <c r="D9" s="5" t="n">
        <v>1</v>
      </c>
      <c r="E9" s="6" t="n">
        <v>-93.98999999999999</v>
      </c>
      <c r="F9" s="30" t="n">
        <v>-0.009399077613029374</v>
      </c>
      <c r="G9" s="6" t="n">
        <v>-1.07</v>
      </c>
    </row>
    <row r="10">
      <c r="A10" s="11" t="inlineStr">
        <is>
          <t>Week of 2026-06-01</t>
        </is>
      </c>
      <c r="B10" s="5" t="n">
        <v>1</v>
      </c>
      <c r="C10" s="5" t="n">
        <v>0</v>
      </c>
      <c r="D10" s="5" t="n">
        <v>1</v>
      </c>
      <c r="E10" s="6" t="n">
        <v>-91.98</v>
      </c>
      <c r="F10" s="30" t="n">
        <v>-0.009198010067365483</v>
      </c>
      <c r="G10" s="6" t="n">
        <v>-93.05</v>
      </c>
    </row>
    <row r="11">
      <c r="A11" s="11" t="inlineStr">
        <is>
          <t>Week of 2026-06-22</t>
        </is>
      </c>
      <c r="B11" s="5" t="n">
        <v>1</v>
      </c>
      <c r="C11" s="5" t="n">
        <v>1</v>
      </c>
      <c r="D11" s="5" t="n">
        <v>0</v>
      </c>
      <c r="E11" s="6" t="n">
        <v>1.04</v>
      </c>
      <c r="F11" s="30" t="n">
        <v>0.0001039999999998545</v>
      </c>
      <c r="G11" s="6" t="n">
        <v>-92.01000000000001</v>
      </c>
    </row>
    <row r="12">
      <c r="A12" s="11" t="inlineStr">
        <is>
          <t>Week of 2026-06-29</t>
        </is>
      </c>
      <c r="B12" s="5" t="n">
        <v>1</v>
      </c>
      <c r="C12" s="5" t="n">
        <v>1</v>
      </c>
      <c r="D12" s="5" t="n">
        <v>0</v>
      </c>
      <c r="E12" s="6" t="n">
        <v>158.92</v>
      </c>
      <c r="F12" s="30" t="n">
        <v>0.0158915348652548</v>
      </c>
      <c r="G12" s="6" t="n">
        <v>66.91</v>
      </c>
    </row>
    <row r="13">
      <c r="A13" s="11" t="inlineStr">
        <is>
          <t>Week of 2026-07-27</t>
        </is>
      </c>
      <c r="B13" s="5" t="n">
        <v>2</v>
      </c>
      <c r="C13" s="5" t="n">
        <v>2</v>
      </c>
      <c r="D13" s="5" t="n">
        <v>0</v>
      </c>
      <c r="E13" s="6" t="n">
        <v>334.69</v>
      </c>
      <c r="F13" s="30" t="n">
        <v>0.03346874739069298</v>
      </c>
      <c r="G13" s="6" t="n">
        <v>401.59</v>
      </c>
    </row>
    <row r="14">
      <c r="A14" s="11" t="inlineStr">
        <is>
          <t>Week of 2026-08-10</t>
        </is>
      </c>
      <c r="B14" s="5" t="n">
        <v>1</v>
      </c>
      <c r="C14" s="5" t="n">
        <v>1</v>
      </c>
      <c r="D14" s="5" t="n">
        <v>0</v>
      </c>
      <c r="E14" s="6" t="n">
        <v>172.16</v>
      </c>
      <c r="F14" s="30" t="n">
        <v>0.01721570366533587</v>
      </c>
      <c r="G14" s="6" t="n">
        <v>573.75</v>
      </c>
    </row>
    <row r="15">
      <c r="A15" s="31" t="inlineStr">
        <is>
          <t>TOTAL</t>
        </is>
      </c>
      <c r="B15" s="32" t="n">
        <v>13</v>
      </c>
      <c r="C15" s="32" t="n">
        <v>8</v>
      </c>
      <c r="D15" s="32" t="n">
        <v>5</v>
      </c>
      <c r="E15" s="28" t="n">
        <v>573.75</v>
      </c>
      <c r="F15" s="33" t="n">
        <v>0.05737512291661359</v>
      </c>
      <c r="G15" s="28" t="n">
        <v>573.75</v>
      </c>
    </row>
  </sheetData>
  <mergeCells count="2">
    <mergeCell ref="A2:G2"/>
    <mergeCell ref="A1:G1"/>
  </mergeCells>
  <conditionalFormatting sqref="E4:G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5:G1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4" customWidth="1" min="5" max="5"/>
    <col width="11" customWidth="1" min="6" max="6"/>
    <col width="16" customWidth="1" min="7" max="7"/>
  </cols>
  <sheetData>
    <row r="1" ht="30" customHeight="1">
      <c r="A1" s="1" t="inlineStr">
        <is>
          <t>XAUUSD SNIPER 87 — MONTHLY PROFIT &amp; ROI</t>
        </is>
      </c>
    </row>
    <row r="2">
      <c r="A2" s="2" t="inlineStr">
        <is>
          <t>P/L and ROI aggregated from the trade log by exit date (US Central). ROI is measured against the $10,000 starting balance.</t>
        </is>
      </c>
    </row>
    <row r="3" ht="28" customHeight="1">
      <c r="A3" s="3" t="inlineStr">
        <is>
          <t>MONTHLY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P/L ($)</t>
        </is>
      </c>
      <c r="F3" s="3" t="inlineStr">
        <is>
          <t>ROI (%)</t>
        </is>
      </c>
      <c r="G3" s="3" t="inlineStr">
        <is>
          <t>Cumulative ($)</t>
        </is>
      </c>
    </row>
    <row r="4">
      <c r="A4" s="11" t="inlineStr">
        <is>
          <t>January 2026</t>
        </is>
      </c>
      <c r="B4" s="5" t="n">
        <v>1</v>
      </c>
      <c r="C4" s="5" t="n">
        <v>0</v>
      </c>
      <c r="D4" s="5" t="n">
        <v>1</v>
      </c>
      <c r="E4" s="6" t="n">
        <v>-95.48999999999999</v>
      </c>
      <c r="F4" s="30" t="n">
        <v>-0.009549080623076</v>
      </c>
      <c r="G4" s="6" t="n">
        <v>-95.48999999999999</v>
      </c>
    </row>
    <row r="5">
      <c r="A5" s="11" t="inlineStr">
        <is>
          <t>February 2026</t>
        </is>
      </c>
      <c r="B5" s="5" t="n">
        <v>3</v>
      </c>
      <c r="C5" s="5" t="n">
        <v>1</v>
      </c>
      <c r="D5" s="5" t="n">
        <v>2</v>
      </c>
      <c r="E5" s="6" t="n">
        <v>-125.85</v>
      </c>
      <c r="F5" s="30" t="n">
        <v>-0.01258455520466677</v>
      </c>
      <c r="G5" s="6" t="n">
        <v>-221.34</v>
      </c>
    </row>
    <row r="6">
      <c r="A6" s="11" t="inlineStr">
        <is>
          <t>April 2026</t>
        </is>
      </c>
      <c r="B6" s="5" t="n">
        <v>1</v>
      </c>
      <c r="C6" s="5" t="n">
        <v>1</v>
      </c>
      <c r="D6" s="5" t="n">
        <v>0</v>
      </c>
      <c r="E6" s="6" t="n">
        <v>156.1</v>
      </c>
      <c r="F6" s="30" t="n">
        <v>0.01560970224499428</v>
      </c>
      <c r="G6" s="6" t="n">
        <v>-65.23999999999999</v>
      </c>
    </row>
    <row r="7">
      <c r="A7" s="11" t="inlineStr">
        <is>
          <t>May 2026</t>
        </is>
      </c>
      <c r="B7" s="5" t="n">
        <v>2</v>
      </c>
      <c r="C7" s="5" t="n">
        <v>1</v>
      </c>
      <c r="D7" s="5" t="n">
        <v>1</v>
      </c>
      <c r="E7" s="6" t="n">
        <v>64.17</v>
      </c>
      <c r="F7" s="30" t="n">
        <v>0.006417080645444054</v>
      </c>
      <c r="G7" s="6" t="n">
        <v>-1.07</v>
      </c>
    </row>
    <row r="8">
      <c r="A8" s="11" t="inlineStr">
        <is>
          <t>June 2026</t>
        </is>
      </c>
      <c r="B8" s="5" t="n">
        <v>3</v>
      </c>
      <c r="C8" s="5" t="n">
        <v>2</v>
      </c>
      <c r="D8" s="5" t="n">
        <v>1</v>
      </c>
      <c r="E8" s="6" t="n">
        <v>67.98</v>
      </c>
      <c r="F8" s="30" t="n">
        <v>0.006797524797889173</v>
      </c>
      <c r="G8" s="6" t="n">
        <v>66.91</v>
      </c>
    </row>
    <row r="9">
      <c r="A9" s="11" t="inlineStr">
        <is>
          <t>July 2026</t>
        </is>
      </c>
      <c r="B9" s="5" t="n">
        <v>2</v>
      </c>
      <c r="C9" s="5" t="n">
        <v>2</v>
      </c>
      <c r="D9" s="5" t="n">
        <v>0</v>
      </c>
      <c r="E9" s="6" t="n">
        <v>334.69</v>
      </c>
      <c r="F9" s="30" t="n">
        <v>0.03346874739069298</v>
      </c>
      <c r="G9" s="6" t="n">
        <v>401.59</v>
      </c>
    </row>
    <row r="10">
      <c r="A10" s="11" t="inlineStr">
        <is>
          <t>August 2026</t>
        </is>
      </c>
      <c r="B10" s="5" t="n">
        <v>1</v>
      </c>
      <c r="C10" s="5" t="n">
        <v>1</v>
      </c>
      <c r="D10" s="5" t="n">
        <v>0</v>
      </c>
      <c r="E10" s="6" t="n">
        <v>172.16</v>
      </c>
      <c r="F10" s="30" t="n">
        <v>0.01721570366533587</v>
      </c>
      <c r="G10" s="6" t="n">
        <v>573.75</v>
      </c>
    </row>
    <row r="11">
      <c r="A11" s="31" t="inlineStr">
        <is>
          <t>TOTAL</t>
        </is>
      </c>
      <c r="B11" s="32" t="n">
        <v>13</v>
      </c>
      <c r="C11" s="32" t="n">
        <v>8</v>
      </c>
      <c r="D11" s="32" t="n">
        <v>5</v>
      </c>
      <c r="E11" s="28" t="n">
        <v>573.75</v>
      </c>
      <c r="F11" s="33" t="n">
        <v>0.05737512291661359</v>
      </c>
      <c r="G11" s="28" t="n">
        <v>573.75</v>
      </c>
    </row>
  </sheetData>
  <mergeCells count="2">
    <mergeCell ref="A2:G2"/>
    <mergeCell ref="A1:G1"/>
  </mergeCells>
  <conditionalFormatting sqref="E4:G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1:G1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0" customWidth="1" min="3" max="3"/>
  </cols>
  <sheetData>
    <row r="1" ht="30" customHeight="1">
      <c r="A1" s="1" t="inlineStr">
        <is>
          <t>METHOD, ASSUMPTIONS AND CAVEATS</t>
        </is>
      </c>
    </row>
    <row r="2">
      <c r="A2" s="2" t="inlineStr">
        <is>
          <t>Read before acting on any figure in this workbook.</t>
        </is>
      </c>
    </row>
    <row r="3">
      <c r="A3" s="34" t="inlineStr">
        <is>
          <t>EXECUTION ASSUMPTIONS</t>
        </is>
      </c>
    </row>
    <row r="4">
      <c r="A4" s="35" t="inlineStr">
        <is>
          <t>Data source</t>
        </is>
      </c>
      <c r="B4" s="36" t="inlineStr">
        <is>
          <t>TradeLocker live PULSE feed, XAUUSD M1 bars (real broker data)</t>
        </is>
      </c>
    </row>
    <row r="5">
      <c r="A5" s="35" t="inlineStr">
        <is>
          <t>Backtest window</t>
        </is>
      </c>
      <c r="B5" s="36" t="inlineStr">
        <is>
          <t>1 Jan 2026 → 21 Aug 2026 (last completed bar in the feed)</t>
        </is>
      </c>
    </row>
    <row r="6">
      <c r="A6" s="35" t="inlineStr">
        <is>
          <t>Starting balance</t>
        </is>
      </c>
      <c r="B6" s="36" t="inlineStr">
        <is>
          <t>$10,000</t>
        </is>
      </c>
    </row>
    <row r="7">
      <c r="A7" s="35" t="inlineStr">
        <is>
          <t>Spread</t>
        </is>
      </c>
      <c r="B7" s="36" t="inlineStr">
        <is>
          <t>3.0 pips ($0.30), charged on entry</t>
        </is>
      </c>
    </row>
    <row r="8">
      <c r="A8" s="35" t="inlineStr">
        <is>
          <t>Slippage</t>
        </is>
      </c>
      <c r="B8" s="36" t="inlineStr">
        <is>
          <t>0.5 pip on entry, 1.0 extra pip when a stop triggers</t>
        </is>
      </c>
    </row>
    <row r="9">
      <c r="A9" s="35" t="inlineStr">
        <is>
          <t>Commission</t>
        </is>
      </c>
      <c r="B9" s="36" t="inlineStr">
        <is>
          <t>$7.00 per standard lot, round turn</t>
        </is>
      </c>
    </row>
    <row r="10">
      <c r="A10" s="35" t="inlineStr">
        <is>
          <t>Contract size</t>
        </is>
      </c>
      <c r="B10" s="36" t="inlineStr">
        <is>
          <t>100 oz per lot → $1.00 move = $100 per lot</t>
        </is>
      </c>
    </row>
    <row r="11">
      <c r="A11" s="35" t="inlineStr">
        <is>
          <t>Pip convention</t>
        </is>
      </c>
      <c r="B11" s="36" t="inlineStr">
        <is>
          <t>1 pip = $0.10, so a 25-pip target = $2.50</t>
        </is>
      </c>
    </row>
    <row r="12">
      <c r="A12" s="35" t="inlineStr">
        <is>
          <t>Bar ambiguity</t>
        </is>
      </c>
      <c r="B12" s="36" t="inlineStr">
        <is>
          <t>A bar touching both stop and target is recorded as a STOP</t>
        </is>
      </c>
    </row>
    <row r="13">
      <c r="A13" s="35" t="inlineStr">
        <is>
          <t>Cell values</t>
        </is>
      </c>
      <c r="B13" s="36" t="inlineStr">
        <is>
          <t>This is a static backtest record, so every figure is a computed value rather than a live formula. LibreOffice is unavailable in the build environment, so formulas could not be machine-verified; writing values guarantees the numbers display correctly everywhere. Totals were cross-checked against the source trade CSVs (see verify_workbook.py).</t>
        </is>
      </c>
    </row>
    <row r="14">
      <c r="A14" s="35" t="inlineStr"/>
      <c r="B14" s="36" t="inlineStr"/>
    </row>
    <row r="15">
      <c r="A15" s="34" t="inlineStr">
        <is>
          <t>RULE SET IMPLEMENTED</t>
        </is>
      </c>
    </row>
    <row r="16">
      <c r="A16" s="35" t="inlineStr">
        <is>
          <t>§2 H4 macro filter</t>
        </is>
      </c>
      <c r="B16" s="36" t="inlineStr">
        <is>
          <t>3-of-4 test: EMA50, EMA50&gt;EMA200, HH/HL structure, prior-week midpoint</t>
        </is>
      </c>
    </row>
    <row r="17">
      <c r="A17" s="35" t="inlineStr">
        <is>
          <t>§3 H1 filter</t>
        </is>
      </c>
      <c r="B17" s="36" t="inlineStr">
        <is>
          <t>structure, EMA50, last swing intact, recent displacement</t>
        </is>
      </c>
    </row>
    <row r="18">
      <c r="A18" s="35" t="inlineStr">
        <is>
          <t>§4 Liquidity map</t>
        </is>
      </c>
      <c r="B18" s="36" t="inlineStr">
        <is>
          <t>PDH/PDL, PWH/PWL, Asian H/L, London H/L, M15 swings, xx00/xx50</t>
        </is>
      </c>
    </row>
    <row r="19">
      <c r="A19" s="35" t="inlineStr">
        <is>
          <t>§6-§9 M5 sequence</t>
        </is>
      </c>
      <c r="B19" s="36" t="inlineStr">
        <is>
          <t>sweep → reclaim → displacement ≥1.5× median body → MSS → FVG</t>
        </is>
      </c>
    </row>
    <row r="20">
      <c r="A20" s="35" t="inlineStr">
        <is>
          <t>§10 M1 entry</t>
        </is>
      </c>
      <c r="B20" s="36" t="inlineStr">
        <is>
          <t>M1 MSS then limit at 50% of the M1 FVG</t>
        </is>
      </c>
    </row>
    <row r="21">
      <c r="A21" s="35" t="inlineStr">
        <is>
          <t>§11 Score</t>
        </is>
      </c>
      <c r="B21" s="36" t="inlineStr">
        <is>
          <t>100-point model, minimum 90 (A+ only)</t>
        </is>
      </c>
    </row>
    <row r="22">
      <c r="A22" s="35" t="inlineStr">
        <is>
          <t>§14 Stop</t>
        </is>
      </c>
      <c r="B22" s="36" t="inlineStr">
        <is>
          <t>sweep extreme ∓ 0.20 × M5 ATR</t>
        </is>
      </c>
    </row>
    <row r="23">
      <c r="A23" s="35" t="inlineStr">
        <is>
          <t>§15 Target</t>
        </is>
      </c>
      <c r="B23" s="36" t="inlineStr">
        <is>
          <t>2R (the document's 'preferred')</t>
        </is>
      </c>
    </row>
    <row r="24">
      <c r="A24" s="35" t="inlineStr">
        <is>
          <t>§16 Management</t>
        </is>
      </c>
      <c r="B24" s="36" t="inlineStr">
        <is>
          <t>breakeven+spread at +1R, 50% partial at +1.5R</t>
        </is>
      </c>
    </row>
    <row r="25">
      <c r="A25" s="35" t="inlineStr">
        <is>
          <t>§18 Sessions</t>
        </is>
      </c>
      <c r="B25" s="36" t="inlineStr">
        <is>
          <t>London 07:00–10:00 London time; New York 08:00–11:00 NY time</t>
        </is>
      </c>
    </row>
    <row r="26">
      <c r="A26" s="35" t="inlineStr">
        <is>
          <t>§19/§21 Limits</t>
        </is>
      </c>
      <c r="B26" s="36" t="inlineStr">
        <is>
          <t>max 2 trades/day, stop after 2 losses, daily loss kill switch</t>
        </is>
      </c>
    </row>
    <row r="27">
      <c r="A27" s="35" t="inlineStr"/>
      <c r="B27" s="36" t="inlineStr"/>
    </row>
    <row r="28">
      <c r="A28" s="34" t="inlineStr">
        <is>
          <t>DEVIATIONS AND GAPS — PLEASE READ</t>
        </is>
      </c>
    </row>
    <row r="29">
      <c r="A29" s="35" t="inlineStr">
        <is>
          <t>Risk sizing</t>
        </is>
      </c>
      <c r="B29" s="36" t="inlineStr">
        <is>
          <t>You asked for 1% and 2%. The rule set (§20) caps risk at 1% and recommends 0.25–0.50%. The 2% run therefore exceeds the document.</t>
        </is>
      </c>
    </row>
    <row r="30">
      <c r="A30" s="35" t="inlineStr">
        <is>
          <t>Daily kill switch</t>
        </is>
      </c>
      <c r="B30" s="36" t="inlineStr">
        <is>
          <t>§21 stops the day at −1%. At 2% risk the first loss would end every day, so the switch was scaled to −2% (1% run) and −4% (2% run). This is a deviation from the document.</t>
        </is>
      </c>
    </row>
    <row r="31">
      <c r="A31" s="35" t="inlineStr">
        <is>
          <t>§17 News filter</t>
        </is>
      </c>
      <c r="B31" s="36" t="inlineStr">
        <is>
          <t>NOT APPLIED. No high-impact news calendar is available in this environment. Live results would differ, most likely for the worse, since unfiltered news bars are included here.</t>
        </is>
      </c>
    </row>
    <row r="32">
      <c r="A32" s="35" t="inlineStr">
        <is>
          <t>§26 Development data</t>
        </is>
      </c>
      <c r="B32" s="36" t="inlineStr">
        <is>
          <t>The document specifies development from Jan 2022. The broker's M1 history only reaches 2024-01-01, so development used 2024.</t>
        </is>
      </c>
    </row>
    <row r="33">
      <c r="A33" s="35" t="inlineStr"/>
      <c r="B33" s="36" t="inlineStr"/>
    </row>
    <row r="34">
      <c r="A34" s="34" t="inlineStr">
        <is>
          <t>SAMPLE SIZE — THE CENTRAL CAVEAT</t>
        </is>
      </c>
    </row>
    <row r="35">
      <c r="A35" s="35" t="inlineStr">
        <is>
          <t>§27 requires</t>
        </is>
      </c>
      <c r="B35" s="36" t="inlineStr">
        <is>
          <t>≥300 trades, 500+ preferred, before an '87%' claim is credible</t>
        </is>
      </c>
    </row>
    <row r="36">
      <c r="A36" s="35" t="inlineStr">
        <is>
          <t>Trades in this window</t>
        </is>
      </c>
      <c r="B36" s="36" t="inlineStr">
        <is>
          <t>13</t>
        </is>
      </c>
    </row>
    <row r="37">
      <c r="A37" s="35" t="inlineStr">
        <is>
          <t>Trades across 2024–2026</t>
        </is>
      </c>
      <c r="B37" s="36" t="inlineStr">
        <is>
          <t>69</t>
        </is>
      </c>
    </row>
    <row r="38">
      <c r="A38" s="35" t="inlineStr">
        <is>
          <t>Pooled win rate 2024–2026</t>
        </is>
      </c>
      <c r="B38" s="36" t="inlineStr">
        <is>
          <t>44.93%</t>
        </is>
      </c>
    </row>
    <row r="39">
      <c r="A39" s="35" t="inlineStr">
        <is>
          <t>Pooled profit factor</t>
        </is>
      </c>
      <c r="B39" s="36" t="inlineStr">
        <is>
          <t>0.84</t>
        </is>
      </c>
    </row>
    <row r="40">
      <c r="A40" s="35" t="inlineStr">
        <is>
          <t>What this means</t>
        </is>
      </c>
      <c r="B40" s="36" t="inlineStr">
        <is>
          <t>The Jan–Aug 2026 result is positive but rests on 13 trades. A 13-trade sample cannot distinguish a 61% system from a 45% one. Across the full 2024–2026 history the same rules produced a 45% win rate — far below the 87% target.</t>
        </is>
      </c>
    </row>
    <row r="41">
      <c r="A41" s="35" t="inlineStr">
        <is>
          <t>Per §26</t>
        </is>
      </c>
      <c r="B41" s="36" t="inlineStr">
        <is>
          <t>2026 is the forward-test window and was NOT used to tune anything.</t>
        </is>
      </c>
    </row>
  </sheetData>
  <mergeCells count="41">
    <mergeCell ref="B16:C16"/>
    <mergeCell ref="B7:C7"/>
    <mergeCell ref="B25:C25"/>
    <mergeCell ref="B22:C22"/>
    <mergeCell ref="A3:C3"/>
    <mergeCell ref="B31:C31"/>
    <mergeCell ref="B18:C18"/>
    <mergeCell ref="B27:C27"/>
    <mergeCell ref="A2:C2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A28:C28"/>
    <mergeCell ref="B38:C38"/>
    <mergeCell ref="B29:C29"/>
    <mergeCell ref="B19:C19"/>
    <mergeCell ref="B37:C37"/>
    <mergeCell ref="B10:C10"/>
    <mergeCell ref="A34:C34"/>
    <mergeCell ref="A15:C15"/>
    <mergeCell ref="B9:C9"/>
    <mergeCell ref="B40:C40"/>
    <mergeCell ref="B6:C6"/>
    <mergeCell ref="B24:C24"/>
    <mergeCell ref="B30:C30"/>
    <mergeCell ref="B33:C33"/>
    <mergeCell ref="A1:C1"/>
    <mergeCell ref="B5:C5"/>
    <mergeCell ref="B20:C20"/>
    <mergeCell ref="B36:C36"/>
    <mergeCell ref="B32:C32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2026-08-25T05:51:44Z</dcterms:created>
  <dcterms:modified xsi:type="dcterms:W3CDTF">2026-08-25T05:51:44Z</dcterms:modified>
</cp:coreProperties>
</file>